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 Details" sheetId="1" r:id="rId5"/>
    <sheet state="visible" name="POs_and_SC_Details" sheetId="2" r:id="rId6"/>
    <sheet state="hidden" name="Sheet6" sheetId="3" r:id="rId7"/>
  </sheets>
  <definedNames/>
  <calcPr/>
</workbook>
</file>

<file path=xl/sharedStrings.xml><?xml version="1.0" encoding="utf-8"?>
<sst xmlns="http://schemas.openxmlformats.org/spreadsheetml/2006/main" count="496" uniqueCount="251">
  <si>
    <t>Sr. No.</t>
  </si>
  <si>
    <t>District</t>
  </si>
  <si>
    <t>Name of College/Institutions/ Department/School</t>
  </si>
  <si>
    <t>Address College/ Institutions/ School</t>
  </si>
  <si>
    <t>Institution Email ID</t>
  </si>
  <si>
    <t>Website If Any</t>
  </si>
  <si>
    <t>No. of unit(s)</t>
  </si>
  <si>
    <t>Name of PO of each unit</t>
  </si>
  <si>
    <t>Mobile No of PO</t>
  </si>
  <si>
    <t>Email ID of as PO</t>
  </si>
  <si>
    <t>Date of Joining</t>
  </si>
  <si>
    <t>Name of Villages/slums adopted by adopted by NSS unit</t>
  </si>
  <si>
    <t>Anand</t>
  </si>
  <si>
    <t>Ashok &amp; Rita Patel Institute of Physiotherapy</t>
  </si>
  <si>
    <t>CHARUSAT, Changa</t>
  </si>
  <si>
    <t>shreyaswami.phy@charusat.ac.in</t>
  </si>
  <si>
    <t>SR No.</t>
  </si>
  <si>
    <t>Report Update</t>
  </si>
  <si>
    <t>Name of Activity</t>
  </si>
  <si>
    <t>Name of Scheme</t>
  </si>
  <si>
    <t>www.charusat.ac.in</t>
  </si>
  <si>
    <t>Organising Institute</t>
  </si>
  <si>
    <t>Collobration with</t>
  </si>
  <si>
    <t>Date of Start</t>
  </si>
  <si>
    <t>Date of End</t>
  </si>
  <si>
    <t>Venue</t>
  </si>
  <si>
    <t>Total No. of Event Hours</t>
  </si>
  <si>
    <t>No.of Volunteers Participated</t>
  </si>
  <si>
    <t>No.of Staff Participated</t>
  </si>
  <si>
    <t>No. of Benefited</t>
  </si>
  <si>
    <t>Program Officer</t>
  </si>
  <si>
    <t>NSS Unit Name</t>
  </si>
  <si>
    <t>Program Officer (PO)</t>
  </si>
  <si>
    <t>Dr. Shreya Swami</t>
  </si>
  <si>
    <t>Student Coordinator 1 (SC1)</t>
  </si>
  <si>
    <t>Traj</t>
  </si>
  <si>
    <t>Report added by Admiin</t>
  </si>
  <si>
    <t>Bapubhai Desaibhai Patel Institute of Allied Healthcare Sciences</t>
  </si>
  <si>
    <t>Tree Plantation Drive on World Environment Day</t>
  </si>
  <si>
    <t>suchitrabarge.cips@charusat.ac.in</t>
  </si>
  <si>
    <t>Student Coordinator 2 (SC2)</t>
  </si>
  <si>
    <t>Green India</t>
  </si>
  <si>
    <t>Dr. Suchitra Barge</t>
  </si>
  <si>
    <t>ARIP NSS Unit</t>
  </si>
  <si>
    <t>Piplav</t>
  </si>
  <si>
    <t>Name</t>
  </si>
  <si>
    <t>CHARUSAT NSS Cell</t>
  </si>
  <si>
    <t>Smt. C.M. Patel Institute of Computer Application</t>
  </si>
  <si>
    <t>hardikpandit.mca@charusat.ac.in</t>
  </si>
  <si>
    <t>Gender</t>
  </si>
  <si>
    <t>CHARUSAT Healthcare Campus</t>
  </si>
  <si>
    <t>Email ID</t>
  </si>
  <si>
    <t>Mobile Number</t>
  </si>
  <si>
    <t>Dr. Hardik Pandit</t>
  </si>
  <si>
    <t>Changa</t>
  </si>
  <si>
    <t>Chandubhai S. Patel Institue of Technology- AIML</t>
  </si>
  <si>
    <t>gauravkumar.aiml@charusat.ac.in</t>
  </si>
  <si>
    <t>Prof. Gaurav Kumar</t>
  </si>
  <si>
    <t>18/07/2023</t>
  </si>
  <si>
    <t>Gada</t>
  </si>
  <si>
    <t>Chandubhai S. Patel Institue of Technology- CE</t>
  </si>
  <si>
    <t>martinparmar.ce@charusat.ac.in</t>
  </si>
  <si>
    <t>Prof. Martin K Parmar</t>
  </si>
  <si>
    <t>21/12/2007</t>
  </si>
  <si>
    <t>Ghunteli</t>
  </si>
  <si>
    <t>Chandubhai S. Patel Institue of Technology- CL</t>
  </si>
  <si>
    <t>meghadesai.cv@charusat.ac.in</t>
  </si>
  <si>
    <t>Expert Lecture on "Yoga for Health and Harmony" and Hands-on "Sukshma Yoga Session"</t>
  </si>
  <si>
    <t>Fit India</t>
  </si>
  <si>
    <t>MTIN NSS Unit</t>
  </si>
  <si>
    <t>Prof. Megha Desai</t>
  </si>
  <si>
    <t>Padgol</t>
  </si>
  <si>
    <t>Chandubhai S. Patel Institue of Technology- CSE</t>
  </si>
  <si>
    <t>dharmendrarathod.cse@charusat.ac.in</t>
  </si>
  <si>
    <t>MTIN Auditorium</t>
  </si>
  <si>
    <t>Female</t>
  </si>
  <si>
    <t>Prof. Dharmendrasinh Rathod</t>
  </si>
  <si>
    <t>Demol</t>
  </si>
  <si>
    <t>Chandubhai S. Patel Institue of Technology- EC</t>
  </si>
  <si>
    <t>akshaypatel.ec@charusat.ac.in</t>
  </si>
  <si>
    <t>Yoga Workshop on "Cultivating Wellness and Wisdom Through Yoga" under the University-Level One Week Wellness
Initiative "SAMYOGA 365"</t>
  </si>
  <si>
    <t>CSPIT NSS Unit</t>
  </si>
  <si>
    <t>Prof. Akshaya N Patel</t>
  </si>
  <si>
    <t>Malataj</t>
  </si>
  <si>
    <t>Sports Complex</t>
  </si>
  <si>
    <t>Chandubhai S. Patel Institue of Technology- EE</t>
  </si>
  <si>
    <t>ankurpatel.ee@charusat.ac.in</t>
  </si>
  <si>
    <t>Prof Akshya Patel, Prof Hetal Shah, Prof Satayu Travadi</t>
  </si>
  <si>
    <t>Prof. Ankur Patel</t>
  </si>
  <si>
    <t>Online Poster Making Competition</t>
  </si>
  <si>
    <t>19/06/2014</t>
  </si>
  <si>
    <t>Khandhli</t>
  </si>
  <si>
    <t>Chandubhai S. Patel Institue of Technology- IT</t>
  </si>
  <si>
    <t>IIIM NSS Unit</t>
  </si>
  <si>
    <t>rajnikkatriya.it@charusat.ac.in</t>
  </si>
  <si>
    <t>Prof. Rajnik Katriya</t>
  </si>
  <si>
    <t>Online</t>
  </si>
  <si>
    <t>13/06/2022</t>
  </si>
  <si>
    <t>Chandubhai S. Patel Institue of Technology- ME</t>
  </si>
  <si>
    <t>satayutravadi.me@charusat.ac.in</t>
  </si>
  <si>
    <t>Hetal Parmar</t>
  </si>
  <si>
    <t>Prof. Satayu Travadi</t>
  </si>
  <si>
    <t>23BPT035@charusat.edu.in</t>
  </si>
  <si>
    <t>Maliyataj</t>
  </si>
  <si>
    <t>Devang Patel Institute of Advance Technology and Research - CE</t>
  </si>
  <si>
    <t>kashyappatel.dce@charusat.ac.in</t>
  </si>
  <si>
    <t>Aman Thakkar</t>
  </si>
  <si>
    <t>Male</t>
  </si>
  <si>
    <t>23bpt087@charusat.edu.in</t>
  </si>
  <si>
    <t>Prof. Kashyap Patel</t>
  </si>
  <si>
    <t>16/09/2021</t>
  </si>
  <si>
    <t>Ramol</t>
  </si>
  <si>
    <t>Devang Patel Institute of Advance Technology and Research - CSE</t>
  </si>
  <si>
    <t>vaibhavmatalia.dcs@charusat.ac.in</t>
  </si>
  <si>
    <t>Prof. Vaibhav Matalia</t>
  </si>
  <si>
    <t>14/07/2025</t>
  </si>
  <si>
    <t>Kasor</t>
  </si>
  <si>
    <t>Devang Patel Institute of Advance Technology and Research - IT</t>
  </si>
  <si>
    <t>hiteshmakwana.dit@charusat.ac.in</t>
  </si>
  <si>
    <t>Yoga for mental well being</t>
  </si>
  <si>
    <t>Prof. Hitesh Makwana</t>
  </si>
  <si>
    <t>27/09/2022</t>
  </si>
  <si>
    <t>Dethali</t>
  </si>
  <si>
    <t>Indukaka Ipcowala Institute of Management</t>
  </si>
  <si>
    <t>poonamamrutia.mba@charusat.ac.in</t>
  </si>
  <si>
    <t>ARIP Fitness Room</t>
  </si>
  <si>
    <t>Dr. Poonam Amrutia</t>
  </si>
  <si>
    <t>Mahelav</t>
  </si>
  <si>
    <t>Manikaka Topawala Institute of Nursing</t>
  </si>
  <si>
    <t>hetalshah.nur@charusat.ac.in</t>
  </si>
  <si>
    <t>Yoga Online Quiz</t>
  </si>
  <si>
    <t>PDPIAS NSS Unit</t>
  </si>
  <si>
    <t>Dr. Hetal Shah</t>
  </si>
  <si>
    <t>Karoli</t>
  </si>
  <si>
    <t xml:space="preserve">Rajvi Bhrahmbhatt </t>
  </si>
  <si>
    <t>P. D. Patel Institute of Applied Science</t>
  </si>
  <si>
    <t>25botat001@charusat.edu.in</t>
  </si>
  <si>
    <t>rajeshsavalia.maths@charusat.ac.in</t>
  </si>
  <si>
    <t xml:space="preserve">Vishwa Dungrani </t>
  </si>
  <si>
    <t>25botat004@charusat.edu.in</t>
  </si>
  <si>
    <t>Dr. Rajesh V. Savalia</t>
  </si>
  <si>
    <t>Online Slogan Writing Competition - DEPSTAR</t>
  </si>
  <si>
    <t>DEPSTAR NSS Unit</t>
  </si>
  <si>
    <t>Dabhou</t>
  </si>
  <si>
    <t>Ramanbhai Patel College of Pharmacy</t>
  </si>
  <si>
    <t>hardikkoria.ph@charusat.ac.in</t>
  </si>
  <si>
    <t>Prof. Hardik Koria</t>
  </si>
  <si>
    <t>Online Yoga Posture (Aasana) Competition - RPCP</t>
  </si>
  <si>
    <t>Alindra</t>
  </si>
  <si>
    <t>RPCP NSS Unit</t>
  </si>
  <si>
    <t xml:space="preserve">Patel Aditi </t>
  </si>
  <si>
    <t>24bsit059@charusat.edu.in</t>
  </si>
  <si>
    <t xml:space="preserve">Jay Gajjar </t>
  </si>
  <si>
    <t>jaygajjar639@gmail.com</t>
  </si>
  <si>
    <t>International Yoga Day Celebration</t>
  </si>
  <si>
    <t>CHARUSAT Sports Dept.</t>
  </si>
  <si>
    <t>Central Lawn, CHARUSAT</t>
  </si>
  <si>
    <t>Prof. Kishan Patel</t>
  </si>
  <si>
    <t>Kavya Madani</t>
  </si>
  <si>
    <t>Baal Sansad: Shala Panchayat Election</t>
  </si>
  <si>
    <t>25aiml031@charusat.edu.in</t>
  </si>
  <si>
    <t>Education</t>
  </si>
  <si>
    <t>Vruti Makati</t>
  </si>
  <si>
    <t>25aiml032@charusat.edu.in</t>
  </si>
  <si>
    <t>CREDP Cell</t>
  </si>
  <si>
    <t>Primary Schools, Mahelav</t>
  </si>
  <si>
    <t>Seva Path Orientation - 2026</t>
  </si>
  <si>
    <t>Pratik Kotecha</t>
  </si>
  <si>
    <t>25ce048@charusat.edu.in</t>
  </si>
  <si>
    <t>IIIM</t>
  </si>
  <si>
    <t>Maitry Chapadia</t>
  </si>
  <si>
    <t>25ce013@charusat.edu.in</t>
  </si>
  <si>
    <t xml:space="preserve">Monil Prajapati </t>
  </si>
  <si>
    <t>24cl037@charusat.edu.in</t>
  </si>
  <si>
    <t>Krisha patel</t>
  </si>
  <si>
    <t xml:space="preserve">25cl039@charusat.edu.in </t>
  </si>
  <si>
    <t>NSS EC Leadership Interaction &amp; Thought Exchange 2026</t>
  </si>
  <si>
    <t>Social</t>
  </si>
  <si>
    <t>CSPIT EC NSS Unit</t>
  </si>
  <si>
    <t>Online (Google Meet)</t>
  </si>
  <si>
    <t>Riya Hadiya</t>
  </si>
  <si>
    <t>25cs018@charusat.edu.in</t>
  </si>
  <si>
    <t>Satvik Patel</t>
  </si>
  <si>
    <t>Seed Bomb Activity</t>
  </si>
  <si>
    <t>CHARUSAT Campus</t>
  </si>
  <si>
    <t>Maitry Shah</t>
  </si>
  <si>
    <t>24EC141@charusat.edu.in</t>
  </si>
  <si>
    <t>HARIANSHSINH RANA</t>
  </si>
  <si>
    <t>NSS Induction and Awareness Session</t>
  </si>
  <si>
    <t>25ec108@charusat.edu.in</t>
  </si>
  <si>
    <t>Seminar Hall, DEPSTAR</t>
  </si>
  <si>
    <t>Mahek Shah</t>
  </si>
  <si>
    <t>25ee053@charusat.edu.in</t>
  </si>
  <si>
    <t>Mihir Doshi</t>
  </si>
  <si>
    <t>25ee010@charusat.edu.in</t>
  </si>
  <si>
    <t>NSS Leaders Induction and Orientation Session</t>
  </si>
  <si>
    <t>RPCP Auditorium</t>
  </si>
  <si>
    <t xml:space="preserve">Kishan Chotaliya </t>
  </si>
  <si>
    <t>24it009@charusat.edu.in</t>
  </si>
  <si>
    <t>Shreeya Paun</t>
  </si>
  <si>
    <t>25it077@charusat.edu.in</t>
  </si>
  <si>
    <t xml:space="preserve"> 96645 74080</t>
  </si>
  <si>
    <t>Shubham Patel</t>
  </si>
  <si>
    <t>25me087@charusat.edu.in</t>
  </si>
  <si>
    <t>Aesha Shah</t>
  </si>
  <si>
    <t>25me103@charusat.edu.in</t>
  </si>
  <si>
    <t>Prarambh - Begin Your
Journey of Service &amp; Leadership"</t>
  </si>
  <si>
    <t>Seminar Hall,CSPIT</t>
  </si>
  <si>
    <t>Manav Patel</t>
  </si>
  <si>
    <t>25dce085@charusat.edu.in</t>
  </si>
  <si>
    <t xml:space="preserve">Andarpa Dhruvi </t>
  </si>
  <si>
    <t>25dce004@charusat.edu.in</t>
  </si>
  <si>
    <t>Blood Donation Camp</t>
  </si>
  <si>
    <t>Civic</t>
  </si>
  <si>
    <t>Drumi Jivani</t>
  </si>
  <si>
    <t>Room No. 317, IIIM</t>
  </si>
  <si>
    <t>25dcs039@charusat.edu.in</t>
  </si>
  <si>
    <t>Bansi Kotak</t>
  </si>
  <si>
    <t>25dcs049@charusat.edu.in</t>
  </si>
  <si>
    <t xml:space="preserve">De-Addiction Campagin </t>
  </si>
  <si>
    <t>Nasha Mukt Bharat</t>
  </si>
  <si>
    <t>Daksh Chovatiya</t>
  </si>
  <si>
    <t>Room No. 303, IIIM</t>
  </si>
  <si>
    <t>24dit012@charusat.edu.in</t>
  </si>
  <si>
    <t>Shreya Radadiya</t>
  </si>
  <si>
    <t>24dit056@charusat.edu.in</t>
  </si>
  <si>
    <t>Shiksha Sansad - 2026</t>
  </si>
  <si>
    <t>Erishaa Pawan Varandani</t>
  </si>
  <si>
    <t>25bba399@charusat.edu.in</t>
  </si>
  <si>
    <t>Rushiprakash Patel</t>
  </si>
  <si>
    <t>24bbab054@charusat.edu.in</t>
  </si>
  <si>
    <t>Tri-padā: ગૌ, બાળ, વૃદ્ધ - સેવા</t>
  </si>
  <si>
    <t>CSPIT CE NSS Unit</t>
  </si>
  <si>
    <t>CSPIT ME NSS Unit</t>
  </si>
  <si>
    <t>Krishnashray Ashram mehlav village</t>
  </si>
  <si>
    <t xml:space="preserve">Mayur Maheshwari </t>
  </si>
  <si>
    <t>maheshwarimayur837@gmail.com</t>
  </si>
  <si>
    <t xml:space="preserve">Dhwani Patel </t>
  </si>
  <si>
    <t>23bn026@charusat.edu.in</t>
  </si>
  <si>
    <t>Manthan Pawar</t>
  </si>
  <si>
    <t>25bscchem041@charusat.edu.in</t>
  </si>
  <si>
    <t>Vaidehikumari Rana</t>
  </si>
  <si>
    <t>24bsc120@charusat.edu.in</t>
  </si>
  <si>
    <t xml:space="preserve">Shah Prachi Jigarkumar </t>
  </si>
  <si>
    <t>23bph091@charusat.edu.in</t>
  </si>
  <si>
    <t>Vaghela Neel Prakashbhai</t>
  </si>
  <si>
    <t>24bph108@charusat.ac.in</t>
  </si>
  <si>
    <t>Total SC Male</t>
  </si>
  <si>
    <t>Total SC Female</t>
  </si>
  <si>
    <t>Total PO Vacant</t>
  </si>
  <si>
    <t>Total SC Vacant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</si>
</sst>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dd-MM-yyyy"/>
    <numFmt numFmtId="166" formatCode="m/d/yyyy"/>
  </numFmts>
  <fonts count="23">
    <font>
      <sz val="10.0"/>
      <color rgb="FF000000"/>
      <name val="Arial"/>
      <scheme val="minor"/>
    </font>
    <font>
      <b/>
      <sz val="14.0"/>
      <color theme="1"/>
      <name val="Merriweather"/>
    </font>
    <font>
      <sz val="14.0"/>
      <color theme="1"/>
      <name val="Merriweather"/>
    </font>
    <font>
      <b/>
      <color rgb="FFFFFFFF"/>
      <name val="Montserrat"/>
    </font>
    <font>
      <color theme="1"/>
      <name val="Arial"/>
    </font>
    <font>
      <u/>
      <sz val="14.0"/>
      <color theme="1"/>
      <name val="Merriweather"/>
    </font>
    <font>
      <color theme="1"/>
      <name val="Roboto"/>
    </font>
    <font>
      <b/>
      <sz val="11.0"/>
      <color rgb="FFFFFFFF"/>
      <name val="Roboto"/>
    </font>
    <font>
      <u/>
      <sz val="14.0"/>
      <color rgb="FF1155CC"/>
      <name val="Merriweather"/>
    </font>
    <font/>
    <font>
      <sz val="10.0"/>
      <color rgb="FF1A1B1F"/>
      <name val="Georgia"/>
    </font>
    <font>
      <u/>
      <sz val="14.0"/>
      <color rgb="FF1155CC"/>
      <name val="Merriweather"/>
    </font>
    <font>
      <u/>
      <sz val="10.0"/>
      <color rgb="FF1A1B1F"/>
      <name val="Georgia"/>
    </font>
    <font>
      <sz val="10.0"/>
      <color rgb="FF1A1B1F"/>
      <name val="Arial"/>
      <scheme val="minor"/>
    </font>
    <font>
      <u/>
      <sz val="10.0"/>
      <color rgb="FF1A1B1F"/>
      <name val="Georgia"/>
    </font>
    <font>
      <u/>
      <sz val="14.0"/>
      <color theme="1"/>
      <name val="Merriweather"/>
    </font>
    <font>
      <color theme="1"/>
      <name val="Arial"/>
      <scheme val="minor"/>
    </font>
    <font>
      <sz val="10.0"/>
      <color rgb="FF1A1B1F"/>
      <name val="Roboto"/>
    </font>
    <font>
      <u/>
      <sz val="10.0"/>
      <color rgb="FF1A1B1F"/>
      <name val="Georgia"/>
    </font>
    <font>
      <color theme="1"/>
      <name val="Georgia"/>
    </font>
    <font>
      <sz val="11.0"/>
      <color rgb="FF000000"/>
      <name val="Arial"/>
      <scheme val="minor"/>
    </font>
    <font>
      <u/>
      <sz val="10.0"/>
      <color rgb="FF1A1B1F"/>
      <name val="Georgia"/>
    </font>
    <font>
      <b/>
      <color theme="1"/>
      <name val="Arial"/>
      <scheme val="minor"/>
    </font>
  </fonts>
  <fills count="9">
    <fill>
      <patternFill patternType="none"/>
    </fill>
    <fill>
      <patternFill patternType="lightGray"/>
    </fill>
    <fill>
      <patternFill patternType="solid">
        <fgColor rgb="FF555892"/>
        <bgColor rgb="FF555892"/>
      </patternFill>
    </fill>
    <fill>
      <patternFill patternType="solid">
        <fgColor rgb="FFFF0000"/>
        <bgColor rgb="FFFF0000"/>
      </patternFill>
    </fill>
    <fill>
      <patternFill patternType="solid">
        <fgColor rgb="FFFFFFFF"/>
        <bgColor rgb="FFFFFFFF"/>
      </patternFill>
    </fill>
    <fill>
      <patternFill patternType="solid">
        <fgColor rgb="FF435E91"/>
        <bgColor rgb="FF435E91"/>
      </patternFill>
    </fill>
    <fill>
      <patternFill patternType="solid">
        <fgColor rgb="FFB7E1CD"/>
        <bgColor rgb="FFB7E1CD"/>
      </patternFill>
    </fill>
    <fill>
      <patternFill patternType="solid">
        <fgColor rgb="FFFAF8FF"/>
        <bgColor rgb="FFFAF8FF"/>
      </patternFill>
    </fill>
    <fill>
      <patternFill patternType="solid">
        <fgColor rgb="FFEAD1DC"/>
        <bgColor rgb="FFEAD1DC"/>
      </patternFill>
    </fill>
  </fills>
  <borders count="31">
    <border/>
    <border>
      <left style="thin">
        <color rgb="FF000000"/>
      </left>
      <right style="thin">
        <color rgb="FF000000"/>
      </right>
      <top style="thin">
        <color rgb="FF000000"/>
      </top>
      <bottom style="thin">
        <color rgb="FF000000"/>
      </bottom>
    </border>
    <border>
      <left style="thin">
        <color rgb="FF777680"/>
      </left>
      <right style="thin">
        <color rgb="FF777680"/>
      </right>
      <top style="thin">
        <color rgb="FF777680"/>
      </top>
      <bottom style="thin">
        <color rgb="FF777680"/>
      </bottom>
    </border>
    <border>
      <left style="medium">
        <color rgb="FF000000"/>
      </left>
      <right style="medium">
        <color rgb="FF000000"/>
      </right>
      <top style="medium">
        <color rgb="FF000000"/>
      </top>
    </border>
    <border>
      <left style="thin">
        <color rgb="FF000000"/>
      </left>
      <right style="thin">
        <color rgb="FF000000"/>
      </right>
    </border>
    <border>
      <left style="medium">
        <color rgb="FF000000"/>
      </left>
      <top style="medium">
        <color rgb="FF000000"/>
      </top>
      <bottom style="thin">
        <color rgb="FF74777E"/>
      </bottom>
    </border>
    <border>
      <top style="medium">
        <color rgb="FF000000"/>
      </top>
      <bottom style="thin">
        <color rgb="FF74777E"/>
      </bottom>
    </border>
    <border>
      <right style="medium">
        <color rgb="FF000000"/>
      </right>
      <top style="medium">
        <color rgb="FF000000"/>
      </top>
      <bottom style="thin">
        <color rgb="FF74777E"/>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74777E"/>
      </bottom>
    </border>
    <border>
      <left style="medium">
        <color rgb="FF000000"/>
      </left>
      <right style="thin">
        <color rgb="FF74777E"/>
      </right>
      <top style="thin">
        <color rgb="FF74777E"/>
      </top>
      <bottom style="thin">
        <color rgb="FF74777E"/>
      </bottom>
    </border>
    <border>
      <left style="thin">
        <color rgb="FF74777E"/>
      </left>
      <right style="thin">
        <color rgb="FF74777E"/>
      </right>
      <top style="thin">
        <color rgb="FF74777E"/>
      </top>
      <bottom style="thin">
        <color rgb="FF74777E"/>
      </bottom>
    </border>
    <border>
      <left style="thin">
        <color rgb="FF74777E"/>
      </left>
      <right style="medium">
        <color rgb="FF000000"/>
      </right>
      <top style="thin">
        <color rgb="FF74777E"/>
      </top>
      <bottom style="thin">
        <color rgb="FF74777E"/>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thin">
        <color rgb="FF74777E"/>
      </top>
      <bottom style="thin">
        <color rgb="FF74777E"/>
      </bottom>
    </border>
    <border>
      <left style="thin">
        <color rgb="FF000000"/>
      </left>
      <right style="thin">
        <color rgb="FF000000"/>
      </right>
      <bottom style="thin">
        <color rgb="FF000000"/>
      </bottom>
    </border>
    <border>
      <left style="thin">
        <color rgb="FF777680"/>
      </left>
      <right style="thin">
        <color rgb="FF777680"/>
      </right>
      <top style="thin">
        <color rgb="FF777680"/>
      </top>
    </border>
    <border>
      <left style="thin">
        <color rgb="FF777680"/>
      </left>
      <top style="thin">
        <color rgb="FF777680"/>
      </top>
      <bottom style="thin">
        <color rgb="FF777680"/>
      </bottom>
    </border>
    <border>
      <right style="thin">
        <color rgb="FF777680"/>
      </right>
      <top style="thin">
        <color rgb="FF777680"/>
      </top>
      <bottom style="thin">
        <color rgb="FF777680"/>
      </bottom>
    </border>
    <border>
      <left style="thin">
        <color rgb="FF777680"/>
      </left>
      <right style="thin">
        <color rgb="FF777680"/>
      </right>
      <bottom style="thin">
        <color rgb="FF777680"/>
      </bottom>
    </border>
    <border>
      <left style="medium">
        <color rgb="FF000000"/>
      </left>
      <right style="medium">
        <color rgb="FF000000"/>
      </right>
      <top style="thin">
        <color rgb="FF74777E"/>
      </top>
      <bottom style="medium">
        <color rgb="FF000000"/>
      </bottom>
    </border>
    <border>
      <left style="medium">
        <color rgb="FF000000"/>
      </left>
      <right style="thin">
        <color rgb="FF74777E"/>
      </right>
      <top style="thin">
        <color rgb="FF74777E"/>
      </top>
      <bottom style="medium">
        <color rgb="FF000000"/>
      </bottom>
    </border>
    <border>
      <left style="thin">
        <color rgb="FF74777E"/>
      </left>
      <right style="thin">
        <color rgb="FF74777E"/>
      </right>
      <top style="thin">
        <color rgb="FF74777E"/>
      </top>
      <bottom style="medium">
        <color rgb="FF000000"/>
      </bottom>
    </border>
    <border>
      <left style="thin">
        <color rgb="FF74777E"/>
      </left>
      <right style="medium">
        <color rgb="FF000000"/>
      </right>
      <top style="thin">
        <color rgb="FF74777E"/>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horizontal="center" vertical="bottom"/>
    </xf>
    <xf borderId="1" fillId="0" fontId="2" numFmtId="0" xfId="0" applyAlignment="1" applyBorder="1" applyFont="1">
      <alignment vertical="bottom"/>
    </xf>
    <xf borderId="2" fillId="2" fontId="3" numFmtId="0" xfId="0" applyAlignment="1" applyBorder="1" applyFill="1" applyFont="1">
      <alignment horizontal="center" shrinkToFit="0" wrapText="1"/>
    </xf>
    <xf borderId="2" fillId="2" fontId="4" numFmtId="0" xfId="0" applyBorder="1" applyFont="1"/>
    <xf borderId="2" fillId="3" fontId="3" numFmtId="0" xfId="0" applyAlignment="1" applyBorder="1" applyFill="1" applyFont="1">
      <alignment horizontal="center" shrinkToFit="0" wrapText="1"/>
    </xf>
    <xf borderId="1" fillId="0" fontId="5" numFmtId="0" xfId="0" applyAlignment="1" applyBorder="1" applyFont="1">
      <alignment vertical="bottom"/>
    </xf>
    <xf borderId="2" fillId="4" fontId="6" numFmtId="0" xfId="0" applyAlignment="1" applyBorder="1" applyFill="1" applyFont="1">
      <alignment horizontal="center" shrinkToFit="0" wrapText="1"/>
    </xf>
    <xf borderId="3" fillId="5" fontId="7" numFmtId="0" xfId="0" applyAlignment="1" applyBorder="1" applyFill="1" applyFont="1">
      <alignment horizontal="center" readingOrder="0" shrinkToFit="0" vertical="center" wrapText="1"/>
    </xf>
    <xf borderId="4" fillId="0" fontId="8" numFmtId="0" xfId="0" applyAlignment="1" applyBorder="1" applyFont="1">
      <alignment horizontal="center" textRotation="90" vertical="bottom"/>
    </xf>
    <xf borderId="5" fillId="5" fontId="7" numFmtId="0" xfId="0" applyAlignment="1" applyBorder="1" applyFont="1">
      <alignment horizontal="center" readingOrder="0" shrinkToFit="0" vertical="center" wrapText="1"/>
    </xf>
    <xf borderId="6" fillId="0" fontId="9" numFmtId="0" xfId="0" applyBorder="1" applyFont="1"/>
    <xf borderId="7" fillId="0" fontId="9" numFmtId="0" xfId="0" applyBorder="1" applyFont="1"/>
    <xf borderId="1" fillId="0" fontId="2" numFmtId="164" xfId="0" applyAlignment="1" applyBorder="1" applyFont="1" applyNumberFormat="1">
      <alignment horizontal="center" vertical="bottom"/>
    </xf>
    <xf borderId="2" fillId="6" fontId="6" numFmtId="0" xfId="0" applyAlignment="1" applyBorder="1" applyFill="1" applyFont="1">
      <alignment shrinkToFit="0" wrapText="1"/>
    </xf>
    <xf borderId="8" fillId="5" fontId="7" numFmtId="0" xfId="0" applyAlignment="1" applyBorder="1" applyFont="1">
      <alignment horizontal="center" readingOrder="0" shrinkToFit="0" vertical="center" wrapText="1"/>
    </xf>
    <xf borderId="2" fillId="4" fontId="6" numFmtId="0" xfId="0" applyAlignment="1" applyBorder="1" applyFont="1">
      <alignment shrinkToFit="0" wrapText="1"/>
    </xf>
    <xf borderId="9" fillId="0" fontId="9" numFmtId="0" xfId="0" applyBorder="1" applyFont="1"/>
    <xf borderId="10" fillId="0" fontId="9" numFmtId="0" xfId="0" applyBorder="1" applyFont="1"/>
    <xf borderId="9" fillId="5" fontId="7" numFmtId="0" xfId="0" applyAlignment="1" applyBorder="1" applyFont="1">
      <alignment horizontal="center" readingOrder="0" shrinkToFit="0" vertical="center" wrapText="1"/>
    </xf>
    <xf borderId="4" fillId="0" fontId="9" numFmtId="0" xfId="0" applyBorder="1" applyFont="1"/>
    <xf borderId="11" fillId="0" fontId="9" numFmtId="0" xfId="0" applyBorder="1" applyFont="1"/>
    <xf borderId="2" fillId="0" fontId="6" numFmtId="0" xfId="0" applyAlignment="1" applyBorder="1" applyFont="1">
      <alignment shrinkToFit="0" wrapText="1"/>
    </xf>
    <xf borderId="12" fillId="5" fontId="7" numFmtId="0" xfId="0" applyAlignment="1" applyBorder="1" applyFont="1">
      <alignment horizontal="center" readingOrder="0" shrinkToFit="0" vertical="center" wrapText="1"/>
    </xf>
    <xf borderId="2" fillId="4" fontId="6" numFmtId="165" xfId="0" applyAlignment="1" applyBorder="1" applyFont="1" applyNumberFormat="1">
      <alignment horizontal="center" shrinkToFit="0" wrapText="1"/>
    </xf>
    <xf borderId="13" fillId="5" fontId="7" numFmtId="0" xfId="0" applyAlignment="1" applyBorder="1" applyFont="1">
      <alignment horizontal="center" readingOrder="0" shrinkToFit="0" vertical="center" wrapText="1"/>
    </xf>
    <xf borderId="14" fillId="5" fontId="7" numFmtId="0" xfId="0" applyAlignment="1" applyBorder="1" applyFont="1">
      <alignment horizontal="center" readingOrder="0" shrinkToFit="0" vertical="center" wrapText="1"/>
    </xf>
    <xf borderId="15" fillId="5" fontId="7" numFmtId="0" xfId="0" applyAlignment="1" applyBorder="1" applyFont="1">
      <alignment horizontal="center" readingOrder="0" shrinkToFit="0" vertical="center" wrapText="1"/>
    </xf>
    <xf borderId="1" fillId="5" fontId="7" numFmtId="0" xfId="0" applyAlignment="1" applyBorder="1" applyFont="1">
      <alignment horizontal="center" readingOrder="0" shrinkToFit="0" vertical="center" wrapText="1"/>
    </xf>
    <xf borderId="16" fillId="5" fontId="7" numFmtId="0" xfId="0" applyAlignment="1" applyBorder="1" applyFont="1">
      <alignment horizontal="center" readingOrder="0" shrinkToFit="0" vertical="center" wrapText="1"/>
    </xf>
    <xf borderId="17" fillId="5" fontId="7" numFmtId="0" xfId="0" applyAlignment="1" applyBorder="1" applyFont="1">
      <alignment horizontal="center" readingOrder="0" shrinkToFit="0" vertical="center" wrapText="1"/>
    </xf>
    <xf borderId="18" fillId="4" fontId="10" numFmtId="0" xfId="0" applyAlignment="1" applyBorder="1" applyFont="1">
      <alignment readingOrder="0" shrinkToFit="0" vertical="center" wrapText="1"/>
    </xf>
    <xf borderId="2" fillId="7" fontId="6" numFmtId="0" xfId="0" applyAlignment="1" applyBorder="1" applyFill="1" applyFont="1">
      <alignment horizontal="center" shrinkToFit="0" wrapText="1"/>
    </xf>
    <xf borderId="2" fillId="7" fontId="6" numFmtId="0" xfId="0" applyAlignment="1" applyBorder="1" applyFont="1">
      <alignment shrinkToFit="0" wrapText="1"/>
    </xf>
    <xf borderId="12" fillId="4" fontId="10" numFmtId="0" xfId="0" applyAlignment="1" applyBorder="1" applyFont="1">
      <alignment shrinkToFit="0" vertical="center" wrapText="1"/>
    </xf>
    <xf borderId="2" fillId="7" fontId="6" numFmtId="165" xfId="0" applyAlignment="1" applyBorder="1" applyFont="1" applyNumberFormat="1">
      <alignment horizontal="center" shrinkToFit="0" wrapText="1"/>
    </xf>
    <xf borderId="0" fillId="7" fontId="4" numFmtId="0" xfId="0" applyAlignment="1" applyFont="1">
      <alignment horizontal="center"/>
    </xf>
    <xf borderId="13" fillId="4" fontId="10" numFmtId="0" xfId="0" applyAlignment="1" applyBorder="1" applyFont="1">
      <alignment readingOrder="0" shrinkToFit="0" vertical="center" wrapText="1"/>
    </xf>
    <xf borderId="1" fillId="0" fontId="11" numFmtId="0" xfId="0" applyAlignment="1" applyBorder="1" applyFont="1">
      <alignment vertical="bottom"/>
    </xf>
    <xf borderId="1" fillId="0" fontId="2" numFmtId="164" xfId="0" applyAlignment="1" applyBorder="1" applyFont="1" applyNumberFormat="1">
      <alignment horizontal="center" readingOrder="0" vertical="bottom"/>
    </xf>
    <xf borderId="13" fillId="4" fontId="12" numFmtId="0" xfId="0" applyAlignment="1" applyBorder="1" applyFont="1">
      <alignment shrinkToFit="0" vertical="center" wrapText="1"/>
    </xf>
    <xf borderId="14" fillId="4" fontId="13" numFmtId="0" xfId="0" applyAlignment="1" applyBorder="1" applyFont="1">
      <alignment shrinkToFit="0" vertical="center" wrapText="1"/>
    </xf>
    <xf borderId="15" fillId="4" fontId="10" numFmtId="0" xfId="0" applyAlignment="1" applyBorder="1" applyFont="1">
      <alignment readingOrder="0" shrinkToFit="0" vertical="center" wrapText="1"/>
    </xf>
    <xf borderId="1" fillId="4" fontId="10" numFmtId="0" xfId="0" applyAlignment="1" applyBorder="1" applyFont="1">
      <alignment readingOrder="0" shrinkToFit="0" vertical="center" wrapText="1"/>
    </xf>
    <xf borderId="16" fillId="4" fontId="13" numFmtId="0" xfId="0" applyAlignment="1" applyBorder="1" applyFont="1">
      <alignment horizontal="center" readingOrder="0" shrinkToFit="0" vertical="center" wrapText="1"/>
    </xf>
    <xf borderId="17" fillId="4" fontId="10" numFmtId="0" xfId="0" applyAlignment="1" applyBorder="1" applyFont="1">
      <alignment readingOrder="0" shrinkToFit="0" vertical="center" wrapText="1"/>
    </xf>
    <xf borderId="1" fillId="0" fontId="2" numFmtId="0" xfId="0" applyAlignment="1" applyBorder="1" applyFont="1">
      <alignment readingOrder="0" vertical="bottom"/>
    </xf>
    <xf borderId="1" fillId="4" fontId="14" numFmtId="0" xfId="0" applyAlignment="1" applyBorder="1" applyFont="1">
      <alignment readingOrder="0" shrinkToFit="0" vertical="center" wrapText="1"/>
    </xf>
    <xf borderId="1" fillId="0" fontId="2" numFmtId="0" xfId="0" applyAlignment="1" applyBorder="1" applyFont="1">
      <alignment horizontal="center" readingOrder="0" vertical="bottom"/>
    </xf>
    <xf borderId="1" fillId="0" fontId="15" numFmtId="0" xfId="0" applyAlignment="1" applyBorder="1" applyFont="1">
      <alignment readingOrder="0" vertical="bottom"/>
    </xf>
    <xf borderId="16" fillId="8" fontId="13" numFmtId="0" xfId="0" applyAlignment="1" applyBorder="1" applyFill="1" applyFont="1">
      <alignment horizontal="center" readingOrder="0" shrinkToFit="0" vertical="center" wrapText="1"/>
    </xf>
    <xf borderId="0" fillId="4" fontId="16" numFmtId="0" xfId="0" applyFont="1"/>
    <xf borderId="1" fillId="4" fontId="17" numFmtId="0" xfId="0" applyAlignment="1" applyBorder="1" applyFont="1">
      <alignment readingOrder="0" shrinkToFit="0" vertical="center" wrapText="1"/>
    </xf>
    <xf borderId="1" fillId="4" fontId="16" numFmtId="0" xfId="0" applyAlignment="1" applyBorder="1" applyFont="1">
      <alignment readingOrder="0"/>
    </xf>
    <xf borderId="18" fillId="0" fontId="10" numFmtId="0" xfId="0" applyAlignment="1" applyBorder="1" applyFont="1">
      <alignment readingOrder="0" shrinkToFit="0" vertical="center" wrapText="1"/>
    </xf>
    <xf borderId="12" fillId="0" fontId="10" numFmtId="0" xfId="0" applyAlignment="1" applyBorder="1" applyFont="1">
      <alignment shrinkToFit="0" vertical="center" wrapText="1"/>
    </xf>
    <xf borderId="13" fillId="0" fontId="10" numFmtId="0" xfId="0" applyAlignment="1" applyBorder="1" applyFont="1">
      <alignment readingOrder="0" shrinkToFit="0" vertical="center" wrapText="1"/>
    </xf>
    <xf borderId="13" fillId="0" fontId="18" numFmtId="0" xfId="0" applyAlignment="1" applyBorder="1" applyFont="1">
      <alignment shrinkToFit="0" vertical="center" wrapText="1"/>
    </xf>
    <xf borderId="1" fillId="0" fontId="2" numFmtId="166" xfId="0" applyAlignment="1" applyBorder="1" applyFont="1" applyNumberFormat="1">
      <alignment horizontal="center" vertical="bottom"/>
    </xf>
    <xf borderId="14" fillId="0" fontId="13"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 fillId="0" fontId="16" numFmtId="0" xfId="0" applyAlignment="1" applyBorder="1" applyFont="1">
      <alignment readingOrder="0"/>
    </xf>
    <xf borderId="2" fillId="4" fontId="4" numFmtId="0" xfId="0" applyBorder="1" applyFont="1"/>
    <xf borderId="19" fillId="0" fontId="9" numFmtId="0" xfId="0" applyBorder="1" applyFont="1"/>
    <xf borderId="2" fillId="3" fontId="4" numFmtId="0" xfId="0" applyAlignment="1" applyBorder="1" applyFont="1">
      <alignment vertical="bottom"/>
    </xf>
    <xf borderId="2" fillId="4" fontId="6" numFmtId="0" xfId="0" applyAlignment="1" applyBorder="1" applyFont="1">
      <alignment vertical="bottom"/>
    </xf>
    <xf borderId="20" fillId="4" fontId="6" numFmtId="0" xfId="0" applyAlignment="1" applyBorder="1" applyFont="1">
      <alignment shrinkToFit="0" wrapText="1"/>
    </xf>
    <xf borderId="16" fillId="4" fontId="16" numFmtId="0" xfId="0" applyAlignment="1" applyBorder="1" applyFont="1">
      <alignment horizontal="center" readingOrder="0" vertical="center"/>
    </xf>
    <xf borderId="17" fillId="4" fontId="19" numFmtId="0" xfId="0" applyAlignment="1" applyBorder="1" applyFont="1">
      <alignment readingOrder="0" vertical="center"/>
    </xf>
    <xf borderId="1" fillId="0" fontId="19" numFmtId="0" xfId="0" applyAlignment="1" applyBorder="1" applyFont="1">
      <alignment readingOrder="0" vertical="center"/>
    </xf>
    <xf borderId="16" fillId="8" fontId="16" numFmtId="0" xfId="0" applyAlignment="1" applyBorder="1" applyFont="1">
      <alignment horizontal="center" readingOrder="0" vertical="center"/>
    </xf>
    <xf borderId="21" fillId="6" fontId="6" numFmtId="0" xfId="0" applyAlignment="1" applyBorder="1" applyFont="1">
      <alignment shrinkToFit="0" wrapText="1"/>
    </xf>
    <xf borderId="1" fillId="4" fontId="6" numFmtId="0" xfId="0" applyAlignment="1" applyBorder="1" applyFont="1">
      <alignment shrinkToFit="0" wrapText="1"/>
    </xf>
    <xf borderId="22" fillId="4" fontId="6" numFmtId="0" xfId="0" applyAlignment="1" applyBorder="1" applyFont="1">
      <alignment shrinkToFit="0" wrapText="1"/>
    </xf>
    <xf borderId="23" fillId="3" fontId="4" numFmtId="0" xfId="0" applyBorder="1" applyFont="1"/>
    <xf borderId="23" fillId="7" fontId="6" numFmtId="0" xfId="0" applyAlignment="1" applyBorder="1" applyFont="1">
      <alignment shrinkToFit="0" wrapText="1"/>
    </xf>
    <xf borderId="16" fillId="8" fontId="20" numFmtId="0" xfId="0" applyAlignment="1" applyBorder="1" applyFont="1">
      <alignment horizontal="center" readingOrder="0" vertical="center"/>
    </xf>
    <xf borderId="0" fillId="0" fontId="16" numFmtId="0" xfId="0" applyAlignment="1" applyFont="1">
      <alignment vertical="center"/>
    </xf>
    <xf borderId="13" fillId="0" fontId="10" numFmtId="0" xfId="0" applyAlignment="1" applyBorder="1" applyFont="1">
      <alignment shrinkToFit="0" vertical="center" wrapText="1"/>
    </xf>
    <xf borderId="2" fillId="3" fontId="4" numFmtId="0" xfId="0" applyBorder="1" applyFont="1"/>
    <xf borderId="2" fillId="3" fontId="6" numFmtId="0" xfId="0" applyAlignment="1" applyBorder="1" applyFont="1">
      <alignment shrinkToFit="0" wrapText="1"/>
    </xf>
    <xf borderId="2" fillId="0" fontId="4" numFmtId="0" xfId="0" applyBorder="1" applyFont="1"/>
    <xf borderId="2" fillId="4" fontId="4" numFmtId="165" xfId="0" applyBorder="1" applyFont="1" applyNumberFormat="1"/>
    <xf borderId="2" fillId="7" fontId="4" numFmtId="0" xfId="0" applyBorder="1" applyFont="1"/>
    <xf borderId="2" fillId="7" fontId="4" numFmtId="165" xfId="0" applyBorder="1" applyFont="1" applyNumberFormat="1"/>
    <xf borderId="24" fillId="0" fontId="10" numFmtId="0" xfId="0" applyAlignment="1" applyBorder="1" applyFont="1">
      <alignment readingOrder="0" shrinkToFit="0" vertical="center" wrapText="1"/>
    </xf>
    <xf borderId="25" fillId="0" fontId="10" numFmtId="0" xfId="0" applyAlignment="1" applyBorder="1" applyFont="1">
      <alignment shrinkToFit="0" vertical="center" wrapText="1"/>
    </xf>
    <xf borderId="26" fillId="0" fontId="10" numFmtId="0" xfId="0" applyAlignment="1" applyBorder="1" applyFont="1">
      <alignment readingOrder="0" shrinkToFit="0" vertical="center" wrapText="1"/>
    </xf>
    <xf borderId="26" fillId="0" fontId="21" numFmtId="0" xfId="0" applyAlignment="1" applyBorder="1" applyFont="1">
      <alignment shrinkToFit="0" vertical="center" wrapText="1"/>
    </xf>
    <xf borderId="27" fillId="0" fontId="13" numFmtId="0" xfId="0" applyAlignment="1" applyBorder="1" applyFont="1">
      <alignment shrinkToFit="0" vertical="center" wrapText="1"/>
    </xf>
    <xf borderId="28" fillId="4" fontId="10" numFmtId="0" xfId="0" applyAlignment="1" applyBorder="1" applyFont="1">
      <alignment readingOrder="0" shrinkToFit="0" vertical="center" wrapText="1"/>
    </xf>
    <xf borderId="29" fillId="4" fontId="13" numFmtId="0" xfId="0" applyAlignment="1" applyBorder="1" applyFont="1">
      <alignment horizontal="center" readingOrder="0" shrinkToFit="0" vertical="center" wrapText="1"/>
    </xf>
    <xf borderId="30" fillId="4" fontId="10" numFmtId="0" xfId="0" applyAlignment="1" applyBorder="1" applyFont="1">
      <alignment readingOrder="0" shrinkToFit="0" vertical="center" wrapText="1"/>
    </xf>
    <xf borderId="28" fillId="0" fontId="10" numFmtId="0" xfId="0" applyAlignment="1" applyBorder="1" applyFont="1">
      <alignment readingOrder="0" shrinkToFit="0" vertical="center" wrapText="1"/>
    </xf>
    <xf borderId="29" fillId="8" fontId="13" numFmtId="0" xfId="0" applyAlignment="1" applyBorder="1" applyFont="1">
      <alignment horizontal="center" readingOrder="0" shrinkToFit="0" vertical="center" wrapText="1"/>
    </xf>
    <xf borderId="0" fillId="0" fontId="16" numFmtId="0" xfId="0" applyAlignment="1" applyFont="1">
      <alignment horizontal="center"/>
    </xf>
    <xf borderId="0" fillId="0" fontId="22" numFmtId="0" xfId="0" applyAlignment="1" applyFont="1">
      <alignment horizontal="right"/>
    </xf>
    <xf borderId="0" fillId="0" fontId="16" numFmtId="0" xfId="0" applyFont="1"/>
  </cellXfs>
  <cellStyles count="1">
    <cellStyle xfId="0" name="Normal" builtinId="0"/>
  </cellStyles>
  <dxfs count="7">
    <dxf>
      <font/>
      <fill>
        <patternFill patternType="none"/>
      </fill>
      <border/>
    </dxf>
    <dxf>
      <font/>
      <fill>
        <patternFill patternType="solid">
          <fgColor rgb="FF555892"/>
          <bgColor rgb="FF555892"/>
        </patternFill>
      </fill>
      <border/>
    </dxf>
    <dxf>
      <font/>
      <fill>
        <patternFill patternType="solid">
          <fgColor rgb="FFFAF8FF"/>
          <bgColor rgb="FFFAF8FF"/>
        </patternFill>
      </fill>
      <border/>
    </dxf>
    <dxf>
      <font/>
      <fill>
        <patternFill patternType="solid">
          <fgColor rgb="FFFFFFFF"/>
          <bgColor rgb="FFFFFFFF"/>
        </patternFill>
      </fill>
      <border/>
    </dxf>
    <dxf>
      <font/>
      <fill>
        <patternFill patternType="solid">
          <fgColor rgb="FFF8F8FF"/>
          <bgColor rgb="FFF8F8FF"/>
        </patternFill>
      </fill>
      <border/>
    </dxf>
    <dxf>
      <font/>
      <fill>
        <patternFill patternType="solid">
          <fgColor rgb="FFC8DAF8"/>
          <bgColor rgb="FFC8DAF8"/>
        </patternFill>
      </fill>
      <border/>
    </dxf>
    <dxf>
      <font/>
      <fill>
        <patternFill patternType="solid">
          <fgColor rgb="FFF4CCCC"/>
          <bgColor rgb="FFF4CCCC"/>
        </patternFill>
      </fill>
      <border/>
    </dxf>
  </dxfs>
  <tableStyles count="6">
    <tableStyle count="3" pivot="0" name="Sheet6-style">
      <tableStyleElement dxfId="1" type="headerRow"/>
      <tableStyleElement dxfId="2" type="firstRowStripe"/>
      <tableStyleElement dxfId="3" type="secondRowStripe"/>
    </tableStyle>
    <tableStyle count="2" pivot="0" name="POs_and_SC_Details-style">
      <tableStyleElement dxfId="4" type="firstRowStripe"/>
      <tableStyleElement dxfId="3" type="secondRowStripe"/>
    </tableStyle>
    <tableStyle count="2" pivot="0" name="POs_and_SC_Details-style 2">
      <tableStyleElement dxfId="4" type="firstRowStripe"/>
      <tableStyleElement dxfId="3" type="secondRowStripe"/>
    </tableStyle>
    <tableStyle count="2" pivot="0" name="POs_and_SC_Details-style 3">
      <tableStyleElement dxfId="4" type="firstRowStripe"/>
      <tableStyleElement dxfId="3" type="secondRowStripe"/>
    </tableStyle>
    <tableStyle count="2" pivot="0" name="POs_and_SC_Details-style 4">
      <tableStyleElement dxfId="3" type="firstRowStripe"/>
      <tableStyleElement dxfId="4" type="secondRowStripe"/>
    </tableStyle>
    <tableStyle count="2" pivot="0" name="POs_and_SC_Details-style 5">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M20" displayName="Table_2" name="Table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POs_and_SC_Details-style" showColumnStripes="0" showFirstColumn="1" showLastColumn="1" showRowStripes="1"/>
</table>
</file>

<file path=xl/tables/table2.xml><?xml version="1.0" encoding="utf-8"?>
<table xmlns="http://schemas.openxmlformats.org/spreadsheetml/2006/main" headerRowCount="0" ref="O3:O8" displayName="Table_3" name="Table_3" id="3">
  <tableColumns count="1">
    <tableColumn name="Column1" id="1"/>
  </tableColumns>
  <tableStyleInfo name="POs_and_SC_Details-style 2" showColumnStripes="0" showFirstColumn="1" showLastColumn="1" showRowStripes="1"/>
</table>
</file>

<file path=xl/tables/table3.xml><?xml version="1.0" encoding="utf-8"?>
<table xmlns="http://schemas.openxmlformats.org/spreadsheetml/2006/main" headerRowCount="0" ref="P3:P8" displayName="Table_4" name="Table_4" id="4">
  <tableColumns count="1">
    <tableColumn name="Column1" id="1"/>
  </tableColumns>
  <tableStyleInfo name="POs_and_SC_Details-style 3" showColumnStripes="0" showFirstColumn="1" showLastColumn="1" showRowStripes="1"/>
</table>
</file>

<file path=xl/tables/table4.xml><?xml version="1.0" encoding="utf-8"?>
<table xmlns="http://schemas.openxmlformats.org/spreadsheetml/2006/main" headerRowCount="0" ref="Q3:R8" displayName="Table_5" name="Table_5" id="5">
  <tableColumns count="2">
    <tableColumn name="Column1" id="1"/>
    <tableColumn name="Column2" id="2"/>
  </tableColumns>
  <tableStyleInfo name="POs_and_SC_Details-style 4" showColumnStripes="0" showFirstColumn="1" showLastColumn="1" showRowStripes="1"/>
</table>
</file>

<file path=xl/tables/table5.xml><?xml version="1.0" encoding="utf-8"?>
<table xmlns="http://schemas.openxmlformats.org/spreadsheetml/2006/main" headerRowCount="0" ref="S3:T8" displayName="Table_6" name="Table_6" id="6">
  <tableColumns count="2">
    <tableColumn name="Column1" id="1"/>
    <tableColumn name="Column2" id="2"/>
  </tableColumns>
  <tableStyleInfo name="POs_and_SC_Details-style 5" showColumnStripes="0" showFirstColumn="1" showLastColumn="1" showRowStripes="1"/>
</table>
</file>

<file path=xl/tables/table6.xml><?xml version="1.0" encoding="utf-8"?>
<table xmlns="http://schemas.openxmlformats.org/spreadsheetml/2006/main" headerRowCount="0" ref="A2:O61"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6-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rajnikkatriya.it@charusat.ac.in" TargetMode="External"/><Relationship Id="rId22" Type="http://schemas.openxmlformats.org/officeDocument/2006/relationships/hyperlink" Target="mailto:satayutravadi.me@charusat.ac.in" TargetMode="External"/><Relationship Id="rId21" Type="http://schemas.openxmlformats.org/officeDocument/2006/relationships/hyperlink" Target="mailto:rajnikkatriya.it@charusat.ac.in" TargetMode="External"/><Relationship Id="rId24" Type="http://schemas.openxmlformats.org/officeDocument/2006/relationships/hyperlink" Target="mailto:kashyappatel.dce@charusat.ac.in" TargetMode="External"/><Relationship Id="rId23" Type="http://schemas.openxmlformats.org/officeDocument/2006/relationships/hyperlink" Target="mailto:satayutravadi.me@charusat.ac.in" TargetMode="External"/><Relationship Id="rId1" Type="http://schemas.openxmlformats.org/officeDocument/2006/relationships/hyperlink" Target="mailto:shreyaswami.phy@charusat.ac.in" TargetMode="External"/><Relationship Id="rId2" Type="http://schemas.openxmlformats.org/officeDocument/2006/relationships/hyperlink" Target="http://www.charusat.ac.in" TargetMode="External"/><Relationship Id="rId3" Type="http://schemas.openxmlformats.org/officeDocument/2006/relationships/hyperlink" Target="mailto:shreyaswami.phy@charusat.ac.in" TargetMode="External"/><Relationship Id="rId4" Type="http://schemas.openxmlformats.org/officeDocument/2006/relationships/hyperlink" Target="mailto:suchitrabarge.cips@charusat.ac.in" TargetMode="External"/><Relationship Id="rId9" Type="http://schemas.openxmlformats.org/officeDocument/2006/relationships/hyperlink" Target="mailto:gauravkumar.aiml@charusat.ac.in" TargetMode="External"/><Relationship Id="rId26" Type="http://schemas.openxmlformats.org/officeDocument/2006/relationships/hyperlink" Target="mailto:hiteshmakwana.dit@charusat.ac.in" TargetMode="External"/><Relationship Id="rId25" Type="http://schemas.openxmlformats.org/officeDocument/2006/relationships/hyperlink" Target="mailto:kashyappatel.dce@charusat.ac.in" TargetMode="External"/><Relationship Id="rId28" Type="http://schemas.openxmlformats.org/officeDocument/2006/relationships/hyperlink" Target="mailto:poonamamrutia.mba@charusat.ac.in" TargetMode="External"/><Relationship Id="rId27" Type="http://schemas.openxmlformats.org/officeDocument/2006/relationships/hyperlink" Target="mailto:hiteshmakwana.dit@charusat.ac.in" TargetMode="External"/><Relationship Id="rId5" Type="http://schemas.openxmlformats.org/officeDocument/2006/relationships/hyperlink" Target="mailto:suchitrabarge.cips@charusat.ac.in" TargetMode="External"/><Relationship Id="rId6" Type="http://schemas.openxmlformats.org/officeDocument/2006/relationships/hyperlink" Target="mailto:hardikpandit.mca@charusat.ac.in" TargetMode="External"/><Relationship Id="rId29" Type="http://schemas.openxmlformats.org/officeDocument/2006/relationships/hyperlink" Target="mailto:poonamamrutia.mba@charusat.ac.in" TargetMode="External"/><Relationship Id="rId7" Type="http://schemas.openxmlformats.org/officeDocument/2006/relationships/hyperlink" Target="mailto:hardikpandit.mca@charusat.ac.in" TargetMode="External"/><Relationship Id="rId8" Type="http://schemas.openxmlformats.org/officeDocument/2006/relationships/hyperlink" Target="mailto:gauravkumar.aiml@charusat.ac.in" TargetMode="External"/><Relationship Id="rId31" Type="http://schemas.openxmlformats.org/officeDocument/2006/relationships/hyperlink" Target="mailto:hetalshah.nur@charusat.ac.in" TargetMode="External"/><Relationship Id="rId30" Type="http://schemas.openxmlformats.org/officeDocument/2006/relationships/hyperlink" Target="mailto:hetalshah.nur@charusat.ac.in" TargetMode="External"/><Relationship Id="rId11" Type="http://schemas.openxmlformats.org/officeDocument/2006/relationships/hyperlink" Target="mailto:martinparmar.ce@charusat.ac.in" TargetMode="External"/><Relationship Id="rId33" Type="http://schemas.openxmlformats.org/officeDocument/2006/relationships/hyperlink" Target="mailto:rajeshsavalia.maths@charusat.ac.in" TargetMode="External"/><Relationship Id="rId10" Type="http://schemas.openxmlformats.org/officeDocument/2006/relationships/hyperlink" Target="mailto:martinparmar.ce@charusat.ac.in" TargetMode="External"/><Relationship Id="rId32" Type="http://schemas.openxmlformats.org/officeDocument/2006/relationships/hyperlink" Target="mailto:rajeshsavalia.maths@charusat.ac.in" TargetMode="External"/><Relationship Id="rId13" Type="http://schemas.openxmlformats.org/officeDocument/2006/relationships/hyperlink" Target="mailto:meghadesai.cv@charusat.ac.in" TargetMode="External"/><Relationship Id="rId35" Type="http://schemas.openxmlformats.org/officeDocument/2006/relationships/hyperlink" Target="mailto:hardikkoria.ph@charusat.ac.in" TargetMode="External"/><Relationship Id="rId12" Type="http://schemas.openxmlformats.org/officeDocument/2006/relationships/hyperlink" Target="mailto:meghadesai.cv@charusat.ac.in" TargetMode="External"/><Relationship Id="rId34" Type="http://schemas.openxmlformats.org/officeDocument/2006/relationships/hyperlink" Target="mailto:hardikkoria.ph@charusat.ac.in" TargetMode="External"/><Relationship Id="rId15" Type="http://schemas.openxmlformats.org/officeDocument/2006/relationships/hyperlink" Target="mailto:dharmendrarathod.cse@charusat.ac.in" TargetMode="External"/><Relationship Id="rId14" Type="http://schemas.openxmlformats.org/officeDocument/2006/relationships/hyperlink" Target="mailto:dharmendrarathod.cse@charusat.ac.in" TargetMode="External"/><Relationship Id="rId36" Type="http://schemas.openxmlformats.org/officeDocument/2006/relationships/drawing" Target="../drawings/drawing1.xml"/><Relationship Id="rId17" Type="http://schemas.openxmlformats.org/officeDocument/2006/relationships/hyperlink" Target="mailto:akshaypatel.ec@charusat.ac.in" TargetMode="External"/><Relationship Id="rId16" Type="http://schemas.openxmlformats.org/officeDocument/2006/relationships/hyperlink" Target="mailto:akshaypatel.ec@charusat.ac.in" TargetMode="External"/><Relationship Id="rId19" Type="http://schemas.openxmlformats.org/officeDocument/2006/relationships/hyperlink" Target="mailto:ankurpatel.ee@charusat.ac.in" TargetMode="External"/><Relationship Id="rId18" Type="http://schemas.openxmlformats.org/officeDocument/2006/relationships/hyperlink" Target="mailto:ankurpatel.ee@charusat.ac.in" TargetMode="External"/></Relationships>
</file>

<file path=xl/worksheets/_rels/sheet2.xml.rels><?xml version="1.0" encoding="UTF-8" standalone="yes"?><Relationships xmlns="http://schemas.openxmlformats.org/package/2006/relationships"><Relationship Id="rId24" Type="http://schemas.openxmlformats.org/officeDocument/2006/relationships/table" Target="../tables/table1.xml"/><Relationship Id="rId1" Type="http://schemas.openxmlformats.org/officeDocument/2006/relationships/hyperlink" Target="mailto:23bpt087@charusat.edu.in" TargetMode="External"/><Relationship Id="rId2" Type="http://schemas.openxmlformats.org/officeDocument/2006/relationships/hyperlink" Target="mailto:suchitrabarge.cips@charusat.ac.in" TargetMode="External"/><Relationship Id="rId3" Type="http://schemas.openxmlformats.org/officeDocument/2006/relationships/hyperlink" Target="mailto:hardikpandit.mca@charusat.ac.in" TargetMode="External"/><Relationship Id="rId4" Type="http://schemas.openxmlformats.org/officeDocument/2006/relationships/hyperlink" Target="mailto:gauravkumar.aiml@charusat.ac.in" TargetMode="External"/><Relationship Id="rId9" Type="http://schemas.openxmlformats.org/officeDocument/2006/relationships/hyperlink" Target="mailto:ankurpatel.ee@charusat.ac.in" TargetMode="External"/><Relationship Id="rId26" Type="http://schemas.openxmlformats.org/officeDocument/2006/relationships/table" Target="../tables/table3.xml"/><Relationship Id="rId25" Type="http://schemas.openxmlformats.org/officeDocument/2006/relationships/table" Target="../tables/table2.xml"/><Relationship Id="rId28" Type="http://schemas.openxmlformats.org/officeDocument/2006/relationships/table" Target="../tables/table5.xml"/><Relationship Id="rId27" Type="http://schemas.openxmlformats.org/officeDocument/2006/relationships/table" Target="../tables/table4.xml"/><Relationship Id="rId5" Type="http://schemas.openxmlformats.org/officeDocument/2006/relationships/hyperlink" Target="mailto:martinparmar.ce@charusat.ac.in" TargetMode="External"/><Relationship Id="rId6" Type="http://schemas.openxmlformats.org/officeDocument/2006/relationships/hyperlink" Target="mailto:meghadesai.cv@charusat.ac.in" TargetMode="External"/><Relationship Id="rId7" Type="http://schemas.openxmlformats.org/officeDocument/2006/relationships/hyperlink" Target="mailto:dharmendrarathod.cse@charusat.ac.in" TargetMode="External"/><Relationship Id="rId8" Type="http://schemas.openxmlformats.org/officeDocument/2006/relationships/hyperlink" Target="mailto:akshaypatel.ec@charusat.ac.in" TargetMode="External"/><Relationship Id="rId11" Type="http://schemas.openxmlformats.org/officeDocument/2006/relationships/hyperlink" Target="mailto:satayutravadi.me@charusat.ac.in" TargetMode="External"/><Relationship Id="rId10" Type="http://schemas.openxmlformats.org/officeDocument/2006/relationships/hyperlink" Target="mailto:rajnikkatriya.it@charusat.ac.in" TargetMode="External"/><Relationship Id="rId13" Type="http://schemas.openxmlformats.org/officeDocument/2006/relationships/hyperlink" Target="mailto:hiteshmakwana.dit@charusat.ac.in" TargetMode="External"/><Relationship Id="rId12" Type="http://schemas.openxmlformats.org/officeDocument/2006/relationships/hyperlink" Target="mailto:kashyappatel.dce@charusat.ac.in" TargetMode="External"/><Relationship Id="rId15" Type="http://schemas.openxmlformats.org/officeDocument/2006/relationships/hyperlink" Target="mailto:hetalshah.nur@charusat.ac.in" TargetMode="External"/><Relationship Id="rId14" Type="http://schemas.openxmlformats.org/officeDocument/2006/relationships/hyperlink" Target="mailto:poonamamrutia.mba@charusat.ac.in" TargetMode="External"/><Relationship Id="rId17" Type="http://schemas.openxmlformats.org/officeDocument/2006/relationships/hyperlink" Target="mailto:hardikkoria.ph@charusat.ac.in" TargetMode="External"/><Relationship Id="rId16" Type="http://schemas.openxmlformats.org/officeDocument/2006/relationships/hyperlink" Target="mailto:rajeshsavalia.maths@charusat.ac.in"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9.75"/>
    <col customWidth="1" min="3" max="3" width="74.63"/>
    <col customWidth="1" min="4" max="4" width="43.38"/>
    <col customWidth="1" min="5" max="5" width="44.63"/>
    <col customWidth="1" min="6" max="6" width="17.5"/>
    <col customWidth="1" min="7" max="7" width="15.75"/>
    <col customWidth="1" min="8" max="8" width="34.75"/>
    <col customWidth="1" min="9" max="9" width="19.5"/>
    <col customWidth="1" min="10" max="10" width="44.63"/>
    <col customWidth="1" min="11" max="11" width="18.0"/>
    <col customWidth="1" min="12" max="12" width="64.63"/>
  </cols>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3" t="s">
        <v>13</v>
      </c>
      <c r="D2" s="2" t="s">
        <v>14</v>
      </c>
      <c r="E2" s="7" t="s">
        <v>15</v>
      </c>
      <c r="F2" s="10" t="s">
        <v>20</v>
      </c>
      <c r="G2" s="2">
        <v>1.0</v>
      </c>
      <c r="H2" s="3" t="s">
        <v>33</v>
      </c>
      <c r="I2" s="2">
        <v>6.353651313E9</v>
      </c>
      <c r="J2" s="7" t="s">
        <v>15</v>
      </c>
      <c r="K2" s="14">
        <v>44658.0</v>
      </c>
      <c r="L2" s="2" t="s">
        <v>35</v>
      </c>
    </row>
    <row r="3">
      <c r="A3" s="2">
        <v>2.0</v>
      </c>
      <c r="B3" s="2" t="s">
        <v>12</v>
      </c>
      <c r="C3" s="3" t="s">
        <v>37</v>
      </c>
      <c r="D3" s="2" t="s">
        <v>14</v>
      </c>
      <c r="E3" s="7" t="s">
        <v>39</v>
      </c>
      <c r="F3" s="21"/>
      <c r="G3" s="2">
        <v>1.0</v>
      </c>
      <c r="H3" s="3" t="s">
        <v>42</v>
      </c>
      <c r="I3" s="2">
        <v>9.650793301E9</v>
      </c>
      <c r="J3" s="7" t="s">
        <v>39</v>
      </c>
      <c r="K3" s="14">
        <v>44201.0</v>
      </c>
      <c r="L3" s="2" t="s">
        <v>44</v>
      </c>
    </row>
    <row r="4">
      <c r="A4" s="2">
        <v>3.0</v>
      </c>
      <c r="B4" s="2" t="s">
        <v>12</v>
      </c>
      <c r="C4" s="3" t="s">
        <v>47</v>
      </c>
      <c r="D4" s="2" t="s">
        <v>14</v>
      </c>
      <c r="E4" s="7" t="s">
        <v>48</v>
      </c>
      <c r="F4" s="21"/>
      <c r="G4" s="2">
        <v>1.0</v>
      </c>
      <c r="H4" s="3" t="s">
        <v>53</v>
      </c>
      <c r="I4" s="2">
        <v>9.664753611E9</v>
      </c>
      <c r="J4" s="7" t="s">
        <v>48</v>
      </c>
      <c r="K4" s="14">
        <v>44744.0</v>
      </c>
      <c r="L4" s="2" t="s">
        <v>54</v>
      </c>
    </row>
    <row r="5">
      <c r="A5" s="2">
        <v>4.0</v>
      </c>
      <c r="B5" s="2" t="s">
        <v>12</v>
      </c>
      <c r="C5" s="3" t="s">
        <v>55</v>
      </c>
      <c r="D5" s="2" t="s">
        <v>14</v>
      </c>
      <c r="E5" s="7" t="s">
        <v>56</v>
      </c>
      <c r="F5" s="21"/>
      <c r="G5" s="2">
        <v>1.0</v>
      </c>
      <c r="H5" s="3" t="s">
        <v>57</v>
      </c>
      <c r="I5" s="2">
        <v>7.052082211E9</v>
      </c>
      <c r="J5" s="7" t="s">
        <v>56</v>
      </c>
      <c r="K5" s="2" t="s">
        <v>58</v>
      </c>
      <c r="L5" s="2" t="s">
        <v>59</v>
      </c>
    </row>
    <row r="6">
      <c r="A6" s="2">
        <v>5.0</v>
      </c>
      <c r="B6" s="2" t="s">
        <v>12</v>
      </c>
      <c r="C6" s="3" t="s">
        <v>60</v>
      </c>
      <c r="D6" s="2" t="s">
        <v>14</v>
      </c>
      <c r="E6" s="7" t="s">
        <v>61</v>
      </c>
      <c r="F6" s="21"/>
      <c r="G6" s="2">
        <v>1.0</v>
      </c>
      <c r="H6" s="3" t="s">
        <v>62</v>
      </c>
      <c r="I6" s="2">
        <v>8.488065457E9</v>
      </c>
      <c r="J6" s="7" t="s">
        <v>61</v>
      </c>
      <c r="K6" s="2" t="s">
        <v>63</v>
      </c>
      <c r="L6" s="2" t="s">
        <v>64</v>
      </c>
    </row>
    <row r="7">
      <c r="A7" s="2">
        <v>6.0</v>
      </c>
      <c r="B7" s="2" t="s">
        <v>12</v>
      </c>
      <c r="C7" s="3" t="s">
        <v>65</v>
      </c>
      <c r="D7" s="2" t="s">
        <v>14</v>
      </c>
      <c r="E7" s="7" t="s">
        <v>66</v>
      </c>
      <c r="F7" s="21"/>
      <c r="G7" s="2">
        <v>1.0</v>
      </c>
      <c r="H7" s="3" t="s">
        <v>70</v>
      </c>
      <c r="I7" s="2">
        <v>9.429032853E9</v>
      </c>
      <c r="J7" s="7" t="s">
        <v>66</v>
      </c>
      <c r="K7" s="14">
        <v>42037.0</v>
      </c>
      <c r="L7" s="2" t="s">
        <v>71</v>
      </c>
    </row>
    <row r="8">
      <c r="A8" s="2">
        <v>7.0</v>
      </c>
      <c r="B8" s="2" t="s">
        <v>12</v>
      </c>
      <c r="C8" s="3" t="s">
        <v>72</v>
      </c>
      <c r="D8" s="2" t="s">
        <v>14</v>
      </c>
      <c r="E8" s="7" t="s">
        <v>73</v>
      </c>
      <c r="F8" s="21"/>
      <c r="G8" s="2">
        <v>1.0</v>
      </c>
      <c r="H8" s="3" t="s">
        <v>76</v>
      </c>
      <c r="I8" s="2">
        <v>9.510406252E9</v>
      </c>
      <c r="J8" s="7" t="s">
        <v>73</v>
      </c>
      <c r="K8" s="14">
        <v>44597.0</v>
      </c>
      <c r="L8" s="2" t="s">
        <v>77</v>
      </c>
    </row>
    <row r="9">
      <c r="A9" s="2">
        <v>8.0</v>
      </c>
      <c r="B9" s="2" t="s">
        <v>12</v>
      </c>
      <c r="C9" s="3" t="s">
        <v>78</v>
      </c>
      <c r="D9" s="2" t="s">
        <v>14</v>
      </c>
      <c r="E9" s="39" t="s">
        <v>79</v>
      </c>
      <c r="F9" s="21"/>
      <c r="G9" s="2">
        <v>1.0</v>
      </c>
      <c r="H9" s="3" t="s">
        <v>82</v>
      </c>
      <c r="I9" s="2">
        <v>9.099063701E9</v>
      </c>
      <c r="J9" s="39" t="s">
        <v>79</v>
      </c>
      <c r="K9" s="40">
        <v>45967.0</v>
      </c>
      <c r="L9" s="2" t="s">
        <v>83</v>
      </c>
    </row>
    <row r="10">
      <c r="A10" s="2">
        <v>9.0</v>
      </c>
      <c r="B10" s="2" t="s">
        <v>12</v>
      </c>
      <c r="C10" s="3" t="s">
        <v>85</v>
      </c>
      <c r="D10" s="2" t="s">
        <v>14</v>
      </c>
      <c r="E10" s="7" t="s">
        <v>86</v>
      </c>
      <c r="F10" s="21"/>
      <c r="G10" s="2">
        <v>1.0</v>
      </c>
      <c r="H10" s="3" t="s">
        <v>88</v>
      </c>
      <c r="I10" s="2">
        <v>9.978782503E9</v>
      </c>
      <c r="J10" s="7" t="s">
        <v>86</v>
      </c>
      <c r="K10" s="2" t="s">
        <v>90</v>
      </c>
      <c r="L10" s="2" t="s">
        <v>91</v>
      </c>
    </row>
    <row r="11">
      <c r="A11" s="2">
        <v>10.0</v>
      </c>
      <c r="B11" s="2" t="s">
        <v>12</v>
      </c>
      <c r="C11" s="3" t="s">
        <v>92</v>
      </c>
      <c r="D11" s="2" t="s">
        <v>14</v>
      </c>
      <c r="E11" s="7" t="s">
        <v>94</v>
      </c>
      <c r="F11" s="21"/>
      <c r="G11" s="2">
        <v>1.0</v>
      </c>
      <c r="H11" s="3" t="s">
        <v>95</v>
      </c>
      <c r="I11" s="2">
        <v>9.913617724E9</v>
      </c>
      <c r="J11" s="7" t="s">
        <v>94</v>
      </c>
      <c r="K11" s="2" t="s">
        <v>97</v>
      </c>
      <c r="L11" s="2" t="s">
        <v>12</v>
      </c>
    </row>
    <row r="12">
      <c r="A12" s="2">
        <v>11.0</v>
      </c>
      <c r="B12" s="2" t="s">
        <v>12</v>
      </c>
      <c r="C12" s="3" t="s">
        <v>98</v>
      </c>
      <c r="D12" s="2" t="s">
        <v>14</v>
      </c>
      <c r="E12" s="7" t="s">
        <v>99</v>
      </c>
      <c r="F12" s="21"/>
      <c r="G12" s="2">
        <v>1.0</v>
      </c>
      <c r="H12" s="3" t="s">
        <v>101</v>
      </c>
      <c r="I12" s="2">
        <v>9.723833357E9</v>
      </c>
      <c r="J12" s="7" t="s">
        <v>99</v>
      </c>
      <c r="K12" s="14">
        <v>41640.0</v>
      </c>
      <c r="L12" s="2" t="s">
        <v>103</v>
      </c>
    </row>
    <row r="13">
      <c r="A13" s="2">
        <v>12.0</v>
      </c>
      <c r="B13" s="2" t="s">
        <v>12</v>
      </c>
      <c r="C13" s="3" t="s">
        <v>104</v>
      </c>
      <c r="D13" s="2" t="s">
        <v>14</v>
      </c>
      <c r="E13" s="7" t="s">
        <v>105</v>
      </c>
      <c r="F13" s="21"/>
      <c r="G13" s="2">
        <v>1.0</v>
      </c>
      <c r="H13" s="3" t="s">
        <v>109</v>
      </c>
      <c r="I13" s="2">
        <v>9.974196044E9</v>
      </c>
      <c r="J13" s="7" t="s">
        <v>105</v>
      </c>
      <c r="K13" s="2" t="s">
        <v>110</v>
      </c>
      <c r="L13" s="2" t="s">
        <v>111</v>
      </c>
    </row>
    <row r="14">
      <c r="A14" s="2">
        <v>13.0</v>
      </c>
      <c r="B14" s="2" t="s">
        <v>12</v>
      </c>
      <c r="C14" s="3" t="s">
        <v>112</v>
      </c>
      <c r="D14" s="2" t="s">
        <v>14</v>
      </c>
      <c r="E14" s="47" t="s">
        <v>113</v>
      </c>
      <c r="F14" s="21"/>
      <c r="G14" s="2">
        <v>1.0</v>
      </c>
      <c r="H14" s="47" t="s">
        <v>114</v>
      </c>
      <c r="I14" s="49">
        <v>9.427763065E9</v>
      </c>
      <c r="J14" s="50" t="s">
        <v>113</v>
      </c>
      <c r="K14" s="49" t="s">
        <v>115</v>
      </c>
      <c r="L14" s="2" t="s">
        <v>116</v>
      </c>
    </row>
    <row r="15">
      <c r="A15" s="2">
        <v>14.0</v>
      </c>
      <c r="B15" s="2" t="s">
        <v>12</v>
      </c>
      <c r="C15" s="3" t="s">
        <v>117</v>
      </c>
      <c r="D15" s="2" t="s">
        <v>14</v>
      </c>
      <c r="E15" s="50" t="s">
        <v>118</v>
      </c>
      <c r="F15" s="21"/>
      <c r="G15" s="2">
        <v>1.0</v>
      </c>
      <c r="H15" s="3" t="s">
        <v>120</v>
      </c>
      <c r="I15" s="2">
        <v>8.460752501E9</v>
      </c>
      <c r="J15" s="7" t="s">
        <v>118</v>
      </c>
      <c r="K15" s="2" t="s">
        <v>121</v>
      </c>
      <c r="L15" s="2" t="s">
        <v>122</v>
      </c>
    </row>
    <row r="16">
      <c r="A16" s="2">
        <v>15.0</v>
      </c>
      <c r="B16" s="2" t="s">
        <v>12</v>
      </c>
      <c r="C16" s="3" t="s">
        <v>123</v>
      </c>
      <c r="D16" s="2" t="s">
        <v>14</v>
      </c>
      <c r="E16" s="7" t="s">
        <v>124</v>
      </c>
      <c r="F16" s="21"/>
      <c r="G16" s="2">
        <v>1.0</v>
      </c>
      <c r="H16" s="3" t="s">
        <v>126</v>
      </c>
      <c r="I16" s="2">
        <v>9.429558484E9</v>
      </c>
      <c r="J16" s="7" t="s">
        <v>124</v>
      </c>
      <c r="K16" s="14">
        <v>44202.0</v>
      </c>
      <c r="L16" s="2" t="s">
        <v>127</v>
      </c>
    </row>
    <row r="17">
      <c r="A17" s="2">
        <v>16.0</v>
      </c>
      <c r="B17" s="2" t="s">
        <v>12</v>
      </c>
      <c r="C17" s="3" t="s">
        <v>128</v>
      </c>
      <c r="D17" s="2" t="s">
        <v>14</v>
      </c>
      <c r="E17" s="7" t="s">
        <v>129</v>
      </c>
      <c r="F17" s="21"/>
      <c r="G17" s="2">
        <v>1.0</v>
      </c>
      <c r="H17" s="3" t="s">
        <v>132</v>
      </c>
      <c r="I17" s="2">
        <v>9.033404171E9</v>
      </c>
      <c r="J17" s="7" t="s">
        <v>129</v>
      </c>
      <c r="K17" s="59">
        <v>42348.0</v>
      </c>
      <c r="L17" s="2" t="s">
        <v>133</v>
      </c>
    </row>
    <row r="18">
      <c r="A18" s="2">
        <v>17.0</v>
      </c>
      <c r="B18" s="2" t="s">
        <v>12</v>
      </c>
      <c r="C18" s="3" t="s">
        <v>135</v>
      </c>
      <c r="D18" s="2" t="s">
        <v>14</v>
      </c>
      <c r="E18" s="7" t="s">
        <v>137</v>
      </c>
      <c r="F18" s="21"/>
      <c r="G18" s="2">
        <v>1.0</v>
      </c>
      <c r="H18" s="3" t="s">
        <v>140</v>
      </c>
      <c r="I18" s="2">
        <v>9.429222899E9</v>
      </c>
      <c r="J18" s="7" t="s">
        <v>137</v>
      </c>
      <c r="K18" s="14">
        <v>44198.0</v>
      </c>
      <c r="L18" s="2" t="s">
        <v>143</v>
      </c>
    </row>
    <row r="19">
      <c r="A19" s="2">
        <v>18.0</v>
      </c>
      <c r="B19" s="2" t="s">
        <v>12</v>
      </c>
      <c r="C19" s="3" t="s">
        <v>144</v>
      </c>
      <c r="D19" s="2" t="s">
        <v>14</v>
      </c>
      <c r="E19" s="7" t="s">
        <v>145</v>
      </c>
      <c r="F19" s="65"/>
      <c r="G19" s="2">
        <v>1.0</v>
      </c>
      <c r="H19" s="3" t="s">
        <v>146</v>
      </c>
      <c r="I19" s="2">
        <v>9.731835384E9</v>
      </c>
      <c r="J19" s="7" t="s">
        <v>145</v>
      </c>
      <c r="K19" s="14">
        <v>43109.0</v>
      </c>
      <c r="L19" s="2" t="s">
        <v>148</v>
      </c>
    </row>
  </sheetData>
  <mergeCells count="1">
    <mergeCell ref="F2:F19"/>
  </mergeCells>
  <hyperlinks>
    <hyperlink r:id="rId1" ref="E2"/>
    <hyperlink r:id="rId2" ref="F2"/>
    <hyperlink r:id="rId3" ref="J2"/>
    <hyperlink r:id="rId4" ref="E3"/>
    <hyperlink r:id="rId5" ref="J3"/>
    <hyperlink r:id="rId6" ref="E4"/>
    <hyperlink r:id="rId7" ref="J4"/>
    <hyperlink r:id="rId8" ref="E5"/>
    <hyperlink r:id="rId9" ref="J5"/>
    <hyperlink r:id="rId10" ref="E6"/>
    <hyperlink r:id="rId11" ref="J6"/>
    <hyperlink r:id="rId12" ref="E7"/>
    <hyperlink r:id="rId13" ref="J7"/>
    <hyperlink r:id="rId14" ref="E8"/>
    <hyperlink r:id="rId15" ref="J8"/>
    <hyperlink r:id="rId16" ref="E9"/>
    <hyperlink r:id="rId17" ref="J9"/>
    <hyperlink r:id="rId18" ref="E10"/>
    <hyperlink r:id="rId19" ref="J10"/>
    <hyperlink r:id="rId20" ref="E11"/>
    <hyperlink r:id="rId21" ref="J11"/>
    <hyperlink r:id="rId22" ref="E12"/>
    <hyperlink r:id="rId23" ref="J12"/>
    <hyperlink r:id="rId24" ref="E13"/>
    <hyperlink r:id="rId25" ref="J13"/>
    <hyperlink r:id="rId26" ref="E15"/>
    <hyperlink r:id="rId27" ref="J15"/>
    <hyperlink r:id="rId28" ref="E16"/>
    <hyperlink r:id="rId29" ref="J16"/>
    <hyperlink r:id="rId30" ref="E17"/>
    <hyperlink r:id="rId31" ref="J17"/>
    <hyperlink r:id="rId32" ref="E18"/>
    <hyperlink r:id="rId33" ref="J18"/>
    <hyperlink r:id="rId34" ref="E19"/>
    <hyperlink r:id="rId35" ref="J19"/>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5.5"/>
    <col customWidth="1" min="2" max="3" width="18.88"/>
    <col customWidth="1" min="4" max="4" width="32.63"/>
    <col customWidth="1" min="5" max="5" width="15.13"/>
    <col customWidth="1" min="6" max="7" width="18.88"/>
    <col customWidth="1" min="8" max="8" width="25.13"/>
    <col customWidth="1" min="9" max="9" width="15.13"/>
    <col customWidth="1" min="10" max="11" width="18.88"/>
    <col customWidth="1" min="12" max="12" width="25.13"/>
    <col customWidth="1" min="13" max="13" width="15.13"/>
    <col customWidth="1" min="15" max="15" width="20.13"/>
    <col customWidth="1" min="16" max="16" width="7.88"/>
    <col customWidth="1" min="17" max="17" width="20.13"/>
    <col customWidth="1" min="18" max="18" width="7.88"/>
    <col customWidth="1" min="19" max="19" width="20.13"/>
    <col customWidth="1" min="20" max="20" width="7.88"/>
  </cols>
  <sheetData>
    <row r="1">
      <c r="A1" s="9" t="s">
        <v>31</v>
      </c>
      <c r="B1" s="11" t="s">
        <v>32</v>
      </c>
      <c r="C1" s="12"/>
      <c r="D1" s="12"/>
      <c r="E1" s="13"/>
      <c r="F1" s="16" t="s">
        <v>34</v>
      </c>
      <c r="G1" s="18"/>
      <c r="H1" s="18"/>
      <c r="I1" s="19"/>
      <c r="J1" s="20" t="s">
        <v>40</v>
      </c>
      <c r="K1" s="18"/>
      <c r="L1" s="18"/>
      <c r="M1" s="19"/>
    </row>
    <row r="2">
      <c r="A2" s="22"/>
      <c r="B2" s="24" t="s">
        <v>45</v>
      </c>
      <c r="C2" s="26" t="s">
        <v>49</v>
      </c>
      <c r="D2" s="26" t="s">
        <v>51</v>
      </c>
      <c r="E2" s="27" t="s">
        <v>52</v>
      </c>
      <c r="F2" s="28" t="s">
        <v>45</v>
      </c>
      <c r="G2" s="29" t="s">
        <v>49</v>
      </c>
      <c r="H2" s="29" t="s">
        <v>51</v>
      </c>
      <c r="I2" s="30" t="s">
        <v>52</v>
      </c>
      <c r="J2" s="31" t="s">
        <v>45</v>
      </c>
      <c r="K2" s="29" t="s">
        <v>49</v>
      </c>
      <c r="L2" s="29" t="s">
        <v>51</v>
      </c>
      <c r="M2" s="30" t="s">
        <v>52</v>
      </c>
    </row>
    <row r="3">
      <c r="A3" s="32" t="s">
        <v>13</v>
      </c>
      <c r="B3" s="35" t="str">
        <f t="array" ref="B3:B20">IFERROR(XLOOKUP(A3:A20, 'POs Details'!C2:C20, 'POs Details'!H2:H20), "")</f>
        <v>Dr. Shreya Swami</v>
      </c>
      <c r="C3" s="38" t="s">
        <v>75</v>
      </c>
      <c r="D3" s="41" t="str">
        <f t="array" ref="D3:D20">IFERROR(XLOOKUP(A3:A20, 'POs Details'!C2:C20, 'POs Details'!J2:J20), "")</f>
        <v>shreyaswami.phy@charusat.ac.in</v>
      </c>
      <c r="E3" s="42">
        <f t="array" ref="E3:E20">IFERROR(XLOOKUP(A3:A20, 'POs Details'!C2:C20, 'POs Details'!I2:I20), "")</f>
        <v>6353651313</v>
      </c>
      <c r="F3" s="43" t="s">
        <v>100</v>
      </c>
      <c r="G3" s="44" t="s">
        <v>75</v>
      </c>
      <c r="H3" s="44" t="s">
        <v>102</v>
      </c>
      <c r="I3" s="45">
        <v>8.154030905E9</v>
      </c>
      <c r="J3" s="46" t="s">
        <v>106</v>
      </c>
      <c r="K3" s="44" t="s">
        <v>107</v>
      </c>
      <c r="L3" s="48" t="s">
        <v>108</v>
      </c>
      <c r="M3" s="51">
        <v>8.733023422E9</v>
      </c>
      <c r="N3" s="52"/>
      <c r="O3" s="53" t="s">
        <v>13</v>
      </c>
      <c r="P3" s="54" t="b">
        <v>1</v>
      </c>
      <c r="Q3" s="53" t="s">
        <v>72</v>
      </c>
      <c r="R3" s="54" t="b">
        <v>1</v>
      </c>
      <c r="S3" s="53" t="s">
        <v>112</v>
      </c>
      <c r="T3" s="54" t="b">
        <v>1</v>
      </c>
      <c r="U3" s="52"/>
      <c r="V3" s="52"/>
      <c r="W3" s="52"/>
      <c r="X3" s="52"/>
      <c r="Y3" s="52"/>
      <c r="Z3" s="52"/>
      <c r="AA3" s="52"/>
    </row>
    <row r="4">
      <c r="A4" s="55" t="s">
        <v>37</v>
      </c>
      <c r="B4" s="56" t="s">
        <v>42</v>
      </c>
      <c r="C4" s="57" t="s">
        <v>75</v>
      </c>
      <c r="D4" s="58" t="s">
        <v>39</v>
      </c>
      <c r="E4" s="60">
        <v>9.650793301E9</v>
      </c>
      <c r="F4" s="43" t="s">
        <v>134</v>
      </c>
      <c r="G4" s="44" t="s">
        <v>75</v>
      </c>
      <c r="H4" s="44" t="s">
        <v>136</v>
      </c>
      <c r="I4" s="45">
        <v>7.211190421E9</v>
      </c>
      <c r="J4" s="46" t="s">
        <v>138</v>
      </c>
      <c r="K4" s="61" t="s">
        <v>75</v>
      </c>
      <c r="L4" s="61" t="s">
        <v>139</v>
      </c>
      <c r="M4" s="51">
        <v>9.9742645E9</v>
      </c>
      <c r="O4" s="62" t="s">
        <v>37</v>
      </c>
      <c r="P4" s="63" t="b">
        <v>1</v>
      </c>
      <c r="Q4" s="62" t="s">
        <v>78</v>
      </c>
      <c r="R4" s="63" t="b">
        <v>1</v>
      </c>
      <c r="S4" s="62" t="s">
        <v>117</v>
      </c>
      <c r="T4" s="63" t="b">
        <v>1</v>
      </c>
    </row>
    <row r="5">
      <c r="A5" s="55" t="s">
        <v>47</v>
      </c>
      <c r="B5" s="56" t="s">
        <v>53</v>
      </c>
      <c r="C5" s="57" t="s">
        <v>107</v>
      </c>
      <c r="D5" s="58" t="s">
        <v>48</v>
      </c>
      <c r="E5" s="60">
        <v>9.664753611E9</v>
      </c>
      <c r="F5" s="43" t="s">
        <v>150</v>
      </c>
      <c r="G5" s="44" t="s">
        <v>75</v>
      </c>
      <c r="H5" s="44" t="s">
        <v>151</v>
      </c>
      <c r="I5" s="45">
        <v>8.40122283E9</v>
      </c>
      <c r="J5" s="46" t="s">
        <v>152</v>
      </c>
      <c r="K5" s="61" t="s">
        <v>107</v>
      </c>
      <c r="L5" s="61" t="s">
        <v>153</v>
      </c>
      <c r="M5" s="51">
        <v>7.016515414E9</v>
      </c>
      <c r="O5" s="62" t="s">
        <v>47</v>
      </c>
      <c r="P5" s="63" t="b">
        <v>1</v>
      </c>
      <c r="Q5" s="62" t="s">
        <v>85</v>
      </c>
      <c r="R5" s="63" t="b">
        <v>1</v>
      </c>
      <c r="S5" s="62" t="s">
        <v>123</v>
      </c>
      <c r="T5" s="63" t="b">
        <v>1</v>
      </c>
    </row>
    <row r="6">
      <c r="A6" s="55" t="s">
        <v>55</v>
      </c>
      <c r="B6" s="56" t="s">
        <v>57</v>
      </c>
      <c r="C6" s="57" t="s">
        <v>107</v>
      </c>
      <c r="D6" s="58" t="s">
        <v>56</v>
      </c>
      <c r="E6" s="60">
        <v>7.052082211E9</v>
      </c>
      <c r="F6" s="43" t="s">
        <v>158</v>
      </c>
      <c r="G6" s="44" t="s">
        <v>107</v>
      </c>
      <c r="H6" s="44" t="s">
        <v>160</v>
      </c>
      <c r="I6" s="45">
        <v>9.537030708E9</v>
      </c>
      <c r="J6" s="46" t="s">
        <v>162</v>
      </c>
      <c r="K6" s="61" t="s">
        <v>75</v>
      </c>
      <c r="L6" s="61" t="s">
        <v>163</v>
      </c>
      <c r="M6" s="51">
        <v>9.427425013E9</v>
      </c>
      <c r="O6" s="62" t="s">
        <v>55</v>
      </c>
      <c r="P6" s="63" t="b">
        <v>1</v>
      </c>
      <c r="Q6" s="62" t="s">
        <v>92</v>
      </c>
      <c r="R6" s="63" t="b">
        <v>1</v>
      </c>
      <c r="S6" s="62" t="s">
        <v>128</v>
      </c>
      <c r="T6" s="63" t="b">
        <v>1</v>
      </c>
    </row>
    <row r="7">
      <c r="A7" s="55" t="s">
        <v>60</v>
      </c>
      <c r="B7" s="56" t="s">
        <v>62</v>
      </c>
      <c r="C7" s="57" t="s">
        <v>107</v>
      </c>
      <c r="D7" s="58" t="s">
        <v>61</v>
      </c>
      <c r="E7" s="60">
        <v>8.488065457E9</v>
      </c>
      <c r="F7" s="43" t="s">
        <v>167</v>
      </c>
      <c r="G7" s="44" t="s">
        <v>107</v>
      </c>
      <c r="H7" s="44" t="s">
        <v>168</v>
      </c>
      <c r="I7" s="69">
        <v>7.016027494E9</v>
      </c>
      <c r="J7" s="70" t="s">
        <v>170</v>
      </c>
      <c r="K7" s="61" t="s">
        <v>75</v>
      </c>
      <c r="L7" s="71" t="s">
        <v>171</v>
      </c>
      <c r="M7" s="72">
        <v>9.510951398E9</v>
      </c>
      <c r="O7" s="62" t="s">
        <v>60</v>
      </c>
      <c r="P7" s="63" t="b">
        <v>1</v>
      </c>
      <c r="Q7" s="62" t="s">
        <v>98</v>
      </c>
      <c r="R7" s="63" t="b">
        <v>1</v>
      </c>
      <c r="S7" s="62" t="s">
        <v>135</v>
      </c>
      <c r="T7" s="63" t="b">
        <v>1</v>
      </c>
    </row>
    <row r="8">
      <c r="A8" s="55" t="s">
        <v>65</v>
      </c>
      <c r="B8" s="56" t="s">
        <v>70</v>
      </c>
      <c r="C8" s="57" t="s">
        <v>75</v>
      </c>
      <c r="D8" s="58" t="s">
        <v>66</v>
      </c>
      <c r="E8" s="60">
        <v>9.429032853E9</v>
      </c>
      <c r="F8" s="43" t="s">
        <v>172</v>
      </c>
      <c r="G8" s="44" t="s">
        <v>107</v>
      </c>
      <c r="H8" s="44" t="s">
        <v>173</v>
      </c>
      <c r="I8" s="45">
        <v>9.327527175E9</v>
      </c>
      <c r="J8" s="46" t="s">
        <v>174</v>
      </c>
      <c r="K8" s="61" t="s">
        <v>75</v>
      </c>
      <c r="L8" s="61" t="s">
        <v>175</v>
      </c>
      <c r="M8" s="51">
        <v>9.10670222E9</v>
      </c>
      <c r="O8" s="62" t="s">
        <v>65</v>
      </c>
      <c r="P8" s="63" t="b">
        <v>1</v>
      </c>
      <c r="Q8" s="62" t="s">
        <v>104</v>
      </c>
      <c r="R8" s="63" t="b">
        <v>1</v>
      </c>
      <c r="S8" s="62" t="s">
        <v>144</v>
      </c>
      <c r="T8" s="63" t="b">
        <v>1</v>
      </c>
    </row>
    <row r="9">
      <c r="A9" s="55" t="s">
        <v>72</v>
      </c>
      <c r="B9" s="56" t="s">
        <v>76</v>
      </c>
      <c r="C9" s="57" t="s">
        <v>107</v>
      </c>
      <c r="D9" s="58" t="s">
        <v>73</v>
      </c>
      <c r="E9" s="60">
        <v>9.510406252E9</v>
      </c>
      <c r="F9" s="43" t="s">
        <v>180</v>
      </c>
      <c r="G9" s="44" t="s">
        <v>75</v>
      </c>
      <c r="H9" s="44" t="s">
        <v>181</v>
      </c>
      <c r="I9" s="45">
        <v>8.799600573E9</v>
      </c>
      <c r="J9" s="46" t="s">
        <v>182</v>
      </c>
      <c r="K9" s="61" t="s">
        <v>107</v>
      </c>
      <c r="L9" s="61"/>
      <c r="M9" s="51">
        <v>9.426010451E9</v>
      </c>
    </row>
    <row r="10">
      <c r="A10" s="55" t="s">
        <v>78</v>
      </c>
      <c r="B10" s="56" t="s">
        <v>82</v>
      </c>
      <c r="C10" s="57" t="s">
        <v>107</v>
      </c>
      <c r="D10" s="58" t="s">
        <v>79</v>
      </c>
      <c r="E10" s="60">
        <v>9.099063701E9</v>
      </c>
      <c r="F10" s="43" t="s">
        <v>185</v>
      </c>
      <c r="G10" s="44" t="s">
        <v>75</v>
      </c>
      <c r="H10" s="44" t="s">
        <v>186</v>
      </c>
      <c r="I10" s="45">
        <v>9.428881893E9</v>
      </c>
      <c r="J10" s="46" t="s">
        <v>187</v>
      </c>
      <c r="K10" s="61" t="s">
        <v>107</v>
      </c>
      <c r="L10" s="61" t="s">
        <v>189</v>
      </c>
      <c r="M10" s="78">
        <v>9.428082309E9</v>
      </c>
    </row>
    <row r="11">
      <c r="A11" s="55" t="s">
        <v>85</v>
      </c>
      <c r="B11" s="56" t="s">
        <v>88</v>
      </c>
      <c r="C11" s="57" t="s">
        <v>107</v>
      </c>
      <c r="D11" s="58" t="s">
        <v>86</v>
      </c>
      <c r="E11" s="60">
        <v>9.978782503E9</v>
      </c>
      <c r="F11" s="43" t="s">
        <v>191</v>
      </c>
      <c r="G11" s="44" t="s">
        <v>75</v>
      </c>
      <c r="H11" s="44" t="s">
        <v>192</v>
      </c>
      <c r="I11" s="45">
        <v>9.638410966E9</v>
      </c>
      <c r="J11" s="43" t="s">
        <v>193</v>
      </c>
      <c r="K11" s="61" t="s">
        <v>107</v>
      </c>
      <c r="L11" s="61" t="s">
        <v>194</v>
      </c>
      <c r="M11" s="51">
        <v>8.401436951E9</v>
      </c>
    </row>
    <row r="12">
      <c r="A12" s="55" t="s">
        <v>92</v>
      </c>
      <c r="B12" s="56" t="s">
        <v>95</v>
      </c>
      <c r="C12" s="57" t="s">
        <v>107</v>
      </c>
      <c r="D12" s="58" t="s">
        <v>94</v>
      </c>
      <c r="E12" s="60">
        <v>9.913617724E9</v>
      </c>
      <c r="F12" s="43" t="s">
        <v>197</v>
      </c>
      <c r="G12" s="44" t="s">
        <v>107</v>
      </c>
      <c r="H12" s="44" t="s">
        <v>198</v>
      </c>
      <c r="I12" s="45">
        <v>7.990873848E9</v>
      </c>
      <c r="J12" s="43" t="s">
        <v>199</v>
      </c>
      <c r="K12" s="61" t="s">
        <v>75</v>
      </c>
      <c r="L12" s="61" t="s">
        <v>200</v>
      </c>
      <c r="M12" s="51" t="s">
        <v>201</v>
      </c>
    </row>
    <row r="13">
      <c r="A13" s="55" t="s">
        <v>98</v>
      </c>
      <c r="B13" s="56" t="s">
        <v>101</v>
      </c>
      <c r="C13" s="57" t="s">
        <v>107</v>
      </c>
      <c r="D13" s="58" t="s">
        <v>99</v>
      </c>
      <c r="E13" s="60">
        <v>9.723833357E9</v>
      </c>
      <c r="F13" s="43" t="s">
        <v>202</v>
      </c>
      <c r="G13" s="44" t="s">
        <v>107</v>
      </c>
      <c r="H13" s="44" t="s">
        <v>203</v>
      </c>
      <c r="I13" s="45">
        <v>9.106110117E9</v>
      </c>
      <c r="J13" s="43" t="s">
        <v>204</v>
      </c>
      <c r="K13" s="61" t="s">
        <v>75</v>
      </c>
      <c r="L13" s="61" t="s">
        <v>205</v>
      </c>
      <c r="M13" s="51">
        <v>9.023322365E9</v>
      </c>
      <c r="N13" s="79"/>
    </row>
    <row r="14">
      <c r="A14" s="55" t="s">
        <v>104</v>
      </c>
      <c r="B14" s="56" t="s">
        <v>109</v>
      </c>
      <c r="C14" s="57" t="s">
        <v>107</v>
      </c>
      <c r="D14" s="58" t="s">
        <v>105</v>
      </c>
      <c r="E14" s="60">
        <v>9.974196044E9</v>
      </c>
      <c r="F14" s="43" t="s">
        <v>208</v>
      </c>
      <c r="G14" s="44" t="s">
        <v>107</v>
      </c>
      <c r="H14" s="44" t="s">
        <v>209</v>
      </c>
      <c r="I14" s="45">
        <v>7.383691915E9</v>
      </c>
      <c r="J14" s="43" t="s">
        <v>210</v>
      </c>
      <c r="K14" s="61" t="s">
        <v>75</v>
      </c>
      <c r="L14" s="61" t="s">
        <v>211</v>
      </c>
      <c r="M14" s="51">
        <v>8.40102801E9</v>
      </c>
    </row>
    <row r="15">
      <c r="A15" s="55" t="s">
        <v>112</v>
      </c>
      <c r="B15" s="56" t="s">
        <v>114</v>
      </c>
      <c r="C15" s="57" t="s">
        <v>107</v>
      </c>
      <c r="D15" s="80" t="s">
        <v>113</v>
      </c>
      <c r="E15" s="60">
        <v>9.427763065E9</v>
      </c>
      <c r="F15" s="43" t="s">
        <v>214</v>
      </c>
      <c r="G15" s="44" t="s">
        <v>75</v>
      </c>
      <c r="H15" s="44" t="s">
        <v>216</v>
      </c>
      <c r="I15" s="45">
        <v>9.265182966E9</v>
      </c>
      <c r="J15" s="43" t="s">
        <v>217</v>
      </c>
      <c r="K15" s="61" t="s">
        <v>75</v>
      </c>
      <c r="L15" s="61" t="s">
        <v>218</v>
      </c>
      <c r="M15" s="51">
        <v>6.351240118E9</v>
      </c>
    </row>
    <row r="16">
      <c r="A16" s="55" t="s">
        <v>117</v>
      </c>
      <c r="B16" s="56" t="s">
        <v>120</v>
      </c>
      <c r="C16" s="57" t="s">
        <v>107</v>
      </c>
      <c r="D16" s="58" t="s">
        <v>118</v>
      </c>
      <c r="E16" s="60">
        <v>8.460752501E9</v>
      </c>
      <c r="F16" s="43" t="s">
        <v>221</v>
      </c>
      <c r="G16" s="44" t="s">
        <v>107</v>
      </c>
      <c r="H16" s="44" t="s">
        <v>223</v>
      </c>
      <c r="I16" s="45">
        <v>9.32795031E9</v>
      </c>
      <c r="J16" s="43" t="s">
        <v>224</v>
      </c>
      <c r="K16" s="61" t="s">
        <v>75</v>
      </c>
      <c r="L16" s="61" t="s">
        <v>225</v>
      </c>
      <c r="M16" s="51">
        <v>6.359488408E9</v>
      </c>
    </row>
    <row r="17">
      <c r="A17" s="55" t="s">
        <v>123</v>
      </c>
      <c r="B17" s="56" t="s">
        <v>126</v>
      </c>
      <c r="C17" s="57" t="s">
        <v>75</v>
      </c>
      <c r="D17" s="58" t="s">
        <v>124</v>
      </c>
      <c r="E17" s="60">
        <v>9.429558484E9</v>
      </c>
      <c r="F17" s="43" t="s">
        <v>227</v>
      </c>
      <c r="G17" s="44" t="s">
        <v>75</v>
      </c>
      <c r="H17" s="44" t="s">
        <v>228</v>
      </c>
      <c r="I17" s="45">
        <v>9.033861666E9</v>
      </c>
      <c r="J17" s="46" t="s">
        <v>229</v>
      </c>
      <c r="K17" s="61" t="s">
        <v>107</v>
      </c>
      <c r="L17" s="61" t="s">
        <v>230</v>
      </c>
      <c r="M17" s="51">
        <v>8.306687001E9</v>
      </c>
    </row>
    <row r="18">
      <c r="A18" s="55" t="s">
        <v>128</v>
      </c>
      <c r="B18" s="56" t="s">
        <v>132</v>
      </c>
      <c r="C18" s="57" t="s">
        <v>75</v>
      </c>
      <c r="D18" s="58" t="s">
        <v>129</v>
      </c>
      <c r="E18" s="60">
        <v>9.033404171E9</v>
      </c>
      <c r="F18" s="43" t="s">
        <v>235</v>
      </c>
      <c r="G18" s="44" t="s">
        <v>107</v>
      </c>
      <c r="H18" s="44" t="s">
        <v>236</v>
      </c>
      <c r="I18" s="45">
        <v>9.512465747E9</v>
      </c>
      <c r="J18" s="46" t="s">
        <v>237</v>
      </c>
      <c r="K18" s="61" t="s">
        <v>75</v>
      </c>
      <c r="L18" s="61" t="s">
        <v>238</v>
      </c>
      <c r="M18" s="51">
        <v>9.825039068E9</v>
      </c>
    </row>
    <row r="19">
      <c r="A19" s="55" t="s">
        <v>135</v>
      </c>
      <c r="B19" s="56" t="s">
        <v>140</v>
      </c>
      <c r="C19" s="57" t="s">
        <v>107</v>
      </c>
      <c r="D19" s="58" t="s">
        <v>137</v>
      </c>
      <c r="E19" s="60">
        <v>9.429222899E9</v>
      </c>
      <c r="F19" s="43" t="s">
        <v>239</v>
      </c>
      <c r="G19" s="44" t="s">
        <v>107</v>
      </c>
      <c r="H19" s="44" t="s">
        <v>240</v>
      </c>
      <c r="I19" s="45">
        <v>7.622093402E9</v>
      </c>
      <c r="J19" s="46" t="s">
        <v>241</v>
      </c>
      <c r="K19" s="61" t="s">
        <v>75</v>
      </c>
      <c r="L19" s="61" t="s">
        <v>242</v>
      </c>
      <c r="M19" s="51">
        <v>9.10643295E9</v>
      </c>
    </row>
    <row r="20">
      <c r="A20" s="87" t="s">
        <v>144</v>
      </c>
      <c r="B20" s="88" t="s">
        <v>146</v>
      </c>
      <c r="C20" s="89" t="s">
        <v>107</v>
      </c>
      <c r="D20" s="90" t="s">
        <v>145</v>
      </c>
      <c r="E20" s="91">
        <v>9.731835384E9</v>
      </c>
      <c r="F20" s="43" t="s">
        <v>243</v>
      </c>
      <c r="G20" s="92" t="s">
        <v>75</v>
      </c>
      <c r="H20" s="92" t="s">
        <v>244</v>
      </c>
      <c r="I20" s="93">
        <v>9.737403558E9</v>
      </c>
      <c r="J20" s="94" t="s">
        <v>245</v>
      </c>
      <c r="K20" s="95" t="s">
        <v>107</v>
      </c>
      <c r="L20" s="95" t="s">
        <v>246</v>
      </c>
      <c r="M20" s="96">
        <v>8.141013898E9</v>
      </c>
    </row>
    <row r="21">
      <c r="I21" s="97"/>
    </row>
    <row r="22">
      <c r="A22" s="98" t="s">
        <v>247</v>
      </c>
      <c r="B22" s="99">
        <f>COUNTIF(G3:G20, "Male") + COUNTIF(K3:K20, "Male")</f>
        <v>16</v>
      </c>
      <c r="I22" s="97"/>
    </row>
    <row r="23">
      <c r="A23" s="98" t="s">
        <v>248</v>
      </c>
      <c r="B23" s="99">
        <f>COUNTIF(G3:G20, "Female") + COUNTIF(K3:K20, "Female")</f>
        <v>20</v>
      </c>
      <c r="I23" s="97"/>
    </row>
    <row r="24">
      <c r="A24" s="98" t="s">
        <v>249</v>
      </c>
      <c r="B24" s="99">
        <f>COUNTBLANK(B3:B20)</f>
        <v>0</v>
      </c>
      <c r="I24" s="97"/>
    </row>
    <row r="25">
      <c r="A25" s="98" t="s">
        <v>250</v>
      </c>
      <c r="B25" s="99">
        <f>COUNTBLANK(F3:F20) + COUNTBLANK(J3:J20)</f>
        <v>0</v>
      </c>
      <c r="I25" s="97"/>
    </row>
    <row r="26">
      <c r="I26" s="97"/>
    </row>
    <row r="27">
      <c r="I27" s="97"/>
    </row>
    <row r="28">
      <c r="I28" s="97"/>
    </row>
    <row r="29">
      <c r="I29" s="97"/>
    </row>
    <row r="30">
      <c r="I30" s="97"/>
    </row>
    <row r="31">
      <c r="I31" s="97"/>
    </row>
    <row r="32">
      <c r="I32" s="97"/>
    </row>
    <row r="33">
      <c r="I33" s="97"/>
    </row>
    <row r="34">
      <c r="I34" s="97"/>
    </row>
    <row r="35">
      <c r="I35" s="97"/>
    </row>
    <row r="36">
      <c r="I36" s="97"/>
    </row>
    <row r="37">
      <c r="I37" s="97"/>
    </row>
    <row r="38">
      <c r="I38" s="97"/>
    </row>
    <row r="39">
      <c r="I39" s="97"/>
    </row>
    <row r="40">
      <c r="I40" s="97"/>
    </row>
    <row r="41">
      <c r="I41" s="97"/>
    </row>
    <row r="42">
      <c r="I42" s="97"/>
    </row>
    <row r="43">
      <c r="I43" s="97"/>
    </row>
    <row r="44">
      <c r="I44" s="97"/>
    </row>
    <row r="45">
      <c r="I45" s="97"/>
    </row>
    <row r="46">
      <c r="I46" s="97"/>
    </row>
    <row r="47">
      <c r="I47" s="97"/>
    </row>
    <row r="48">
      <c r="I48" s="97"/>
    </row>
    <row r="49">
      <c r="I49" s="97"/>
    </row>
    <row r="50">
      <c r="I50" s="97"/>
    </row>
    <row r="51">
      <c r="I51" s="97"/>
    </row>
    <row r="52">
      <c r="I52" s="97"/>
    </row>
    <row r="53">
      <c r="I53" s="97"/>
    </row>
    <row r="54">
      <c r="I54" s="97"/>
    </row>
    <row r="55">
      <c r="I55" s="97"/>
    </row>
    <row r="56">
      <c r="I56" s="97"/>
    </row>
    <row r="57">
      <c r="I57" s="97"/>
    </row>
    <row r="58">
      <c r="I58" s="97"/>
    </row>
    <row r="59">
      <c r="I59" s="97"/>
    </row>
    <row r="60">
      <c r="I60" s="97"/>
    </row>
    <row r="61">
      <c r="I61" s="97"/>
    </row>
    <row r="62">
      <c r="I62" s="97"/>
    </row>
    <row r="63">
      <c r="I63" s="97"/>
    </row>
    <row r="64">
      <c r="I64" s="97"/>
    </row>
    <row r="65">
      <c r="I65" s="97"/>
    </row>
    <row r="66">
      <c r="I66" s="97"/>
    </row>
    <row r="67">
      <c r="I67" s="97"/>
    </row>
    <row r="68">
      <c r="I68" s="97"/>
    </row>
    <row r="69">
      <c r="I69" s="97"/>
    </row>
    <row r="70">
      <c r="I70" s="97"/>
    </row>
    <row r="71">
      <c r="I71" s="97"/>
    </row>
    <row r="72">
      <c r="I72" s="97"/>
    </row>
    <row r="73">
      <c r="I73" s="97"/>
    </row>
    <row r="74">
      <c r="I74" s="97"/>
    </row>
    <row r="75">
      <c r="I75" s="97"/>
    </row>
    <row r="76">
      <c r="I76" s="97"/>
    </row>
    <row r="77">
      <c r="I77" s="97"/>
    </row>
    <row r="78">
      <c r="I78" s="97"/>
    </row>
    <row r="79">
      <c r="I79" s="97"/>
    </row>
    <row r="80">
      <c r="I80" s="97"/>
    </row>
    <row r="81">
      <c r="I81" s="97"/>
    </row>
    <row r="82">
      <c r="I82" s="97"/>
    </row>
    <row r="83">
      <c r="I83" s="97"/>
    </row>
    <row r="84">
      <c r="I84" s="97"/>
    </row>
    <row r="85">
      <c r="I85" s="97"/>
    </row>
    <row r="86">
      <c r="I86" s="97"/>
    </row>
    <row r="87">
      <c r="I87" s="97"/>
    </row>
    <row r="88">
      <c r="I88" s="97"/>
    </row>
    <row r="89">
      <c r="I89" s="97"/>
    </row>
    <row r="90">
      <c r="I90" s="97"/>
    </row>
    <row r="91">
      <c r="I91" s="97"/>
    </row>
    <row r="92">
      <c r="I92" s="97"/>
    </row>
    <row r="93">
      <c r="I93" s="97"/>
    </row>
    <row r="94">
      <c r="I94" s="97"/>
    </row>
    <row r="95">
      <c r="I95" s="97"/>
    </row>
    <row r="96">
      <c r="I96" s="97"/>
    </row>
    <row r="97">
      <c r="I97" s="97"/>
    </row>
    <row r="98">
      <c r="I98" s="97"/>
    </row>
    <row r="99">
      <c r="I99" s="97"/>
    </row>
    <row r="100">
      <c r="I100" s="97"/>
    </row>
    <row r="101">
      <c r="I101" s="97"/>
    </row>
    <row r="102">
      <c r="I102" s="97"/>
    </row>
    <row r="103">
      <c r="I103" s="97"/>
    </row>
    <row r="104">
      <c r="I104" s="97"/>
    </row>
    <row r="105">
      <c r="I105" s="97"/>
    </row>
    <row r="106">
      <c r="I106" s="97"/>
    </row>
    <row r="107">
      <c r="I107" s="97"/>
    </row>
    <row r="108">
      <c r="I108" s="97"/>
    </row>
    <row r="109">
      <c r="I109" s="97"/>
    </row>
    <row r="110">
      <c r="I110" s="97"/>
    </row>
    <row r="111">
      <c r="I111" s="97"/>
    </row>
    <row r="112">
      <c r="I112" s="97"/>
    </row>
    <row r="113">
      <c r="I113" s="97"/>
    </row>
    <row r="114">
      <c r="I114" s="97"/>
    </row>
    <row r="115">
      <c r="I115" s="97"/>
    </row>
    <row r="116">
      <c r="I116" s="97"/>
    </row>
    <row r="117">
      <c r="I117" s="97"/>
    </row>
    <row r="118">
      <c r="I118" s="97"/>
    </row>
    <row r="119">
      <c r="I119" s="97"/>
    </row>
    <row r="120">
      <c r="I120" s="97"/>
    </row>
    <row r="121">
      <c r="I121" s="97"/>
    </row>
    <row r="122">
      <c r="I122" s="97"/>
    </row>
    <row r="123">
      <c r="I123" s="97"/>
    </row>
    <row r="124">
      <c r="I124" s="97"/>
    </row>
    <row r="125">
      <c r="I125" s="97"/>
    </row>
    <row r="126">
      <c r="I126" s="97"/>
    </row>
    <row r="127">
      <c r="I127" s="97"/>
    </row>
    <row r="128">
      <c r="I128" s="97"/>
    </row>
    <row r="129">
      <c r="I129" s="97"/>
    </row>
    <row r="130">
      <c r="I130" s="97"/>
    </row>
    <row r="131">
      <c r="I131" s="97"/>
    </row>
    <row r="132">
      <c r="I132" s="97"/>
    </row>
    <row r="133">
      <c r="I133" s="97"/>
    </row>
    <row r="134">
      <c r="I134" s="97"/>
    </row>
    <row r="135">
      <c r="I135" s="97"/>
    </row>
    <row r="136">
      <c r="I136" s="97"/>
    </row>
    <row r="137">
      <c r="I137" s="97"/>
    </row>
    <row r="138">
      <c r="I138" s="97"/>
    </row>
    <row r="139">
      <c r="I139" s="97"/>
    </row>
    <row r="140">
      <c r="I140" s="97"/>
    </row>
    <row r="141">
      <c r="I141" s="97"/>
    </row>
    <row r="142">
      <c r="I142" s="97"/>
    </row>
    <row r="143">
      <c r="I143" s="97"/>
    </row>
    <row r="144">
      <c r="I144" s="97"/>
    </row>
    <row r="145">
      <c r="I145" s="97"/>
    </row>
    <row r="146">
      <c r="I146" s="97"/>
    </row>
    <row r="147">
      <c r="I147" s="97"/>
    </row>
    <row r="148">
      <c r="I148" s="97"/>
    </row>
    <row r="149">
      <c r="I149" s="97"/>
    </row>
    <row r="150">
      <c r="I150" s="97"/>
    </row>
    <row r="151">
      <c r="I151" s="97"/>
    </row>
    <row r="152">
      <c r="I152" s="97"/>
    </row>
    <row r="153">
      <c r="I153" s="97"/>
    </row>
    <row r="154">
      <c r="I154" s="97"/>
    </row>
    <row r="155">
      <c r="I155" s="97"/>
    </row>
    <row r="156">
      <c r="I156" s="97"/>
    </row>
    <row r="157">
      <c r="I157" s="97"/>
    </row>
    <row r="158">
      <c r="I158" s="97"/>
    </row>
    <row r="159">
      <c r="I159" s="97"/>
    </row>
    <row r="160">
      <c r="I160" s="97"/>
    </row>
    <row r="161">
      <c r="I161" s="97"/>
    </row>
    <row r="162">
      <c r="I162" s="97"/>
    </row>
    <row r="163">
      <c r="I163" s="97"/>
    </row>
    <row r="164">
      <c r="I164" s="97"/>
    </row>
    <row r="165">
      <c r="I165" s="97"/>
    </row>
    <row r="166">
      <c r="I166" s="97"/>
    </row>
    <row r="167">
      <c r="I167" s="97"/>
    </row>
    <row r="168">
      <c r="I168" s="97"/>
    </row>
    <row r="169">
      <c r="I169" s="97"/>
    </row>
    <row r="170">
      <c r="I170" s="97"/>
    </row>
    <row r="171">
      <c r="I171" s="97"/>
    </row>
    <row r="172">
      <c r="I172" s="97"/>
    </row>
    <row r="173">
      <c r="I173" s="97"/>
    </row>
    <row r="174">
      <c r="I174" s="97"/>
    </row>
    <row r="175">
      <c r="I175" s="97"/>
    </row>
    <row r="176">
      <c r="I176" s="97"/>
    </row>
    <row r="177">
      <c r="I177" s="97"/>
    </row>
    <row r="178">
      <c r="I178" s="97"/>
    </row>
    <row r="179">
      <c r="I179" s="97"/>
    </row>
    <row r="180">
      <c r="I180" s="97"/>
    </row>
    <row r="181">
      <c r="I181" s="97"/>
    </row>
    <row r="182">
      <c r="I182" s="97"/>
    </row>
    <row r="183">
      <c r="I183" s="97"/>
    </row>
    <row r="184">
      <c r="I184" s="97"/>
    </row>
    <row r="185">
      <c r="I185" s="97"/>
    </row>
    <row r="186">
      <c r="I186" s="97"/>
    </row>
    <row r="187">
      <c r="I187" s="97"/>
    </row>
    <row r="188">
      <c r="I188" s="97"/>
    </row>
    <row r="189">
      <c r="I189" s="97"/>
    </row>
    <row r="190">
      <c r="I190" s="97"/>
    </row>
    <row r="191">
      <c r="I191" s="97"/>
    </row>
    <row r="192">
      <c r="I192" s="97"/>
    </row>
    <row r="193">
      <c r="I193" s="97"/>
    </row>
    <row r="194">
      <c r="I194" s="97"/>
    </row>
    <row r="195">
      <c r="I195" s="97"/>
    </row>
    <row r="196">
      <c r="I196" s="97"/>
    </row>
    <row r="197">
      <c r="I197" s="97"/>
    </row>
    <row r="198">
      <c r="I198" s="97"/>
    </row>
    <row r="199">
      <c r="I199" s="97"/>
    </row>
    <row r="200">
      <c r="I200" s="97"/>
    </row>
    <row r="201">
      <c r="I201" s="97"/>
    </row>
    <row r="202">
      <c r="I202" s="97"/>
    </row>
    <row r="203">
      <c r="I203" s="97"/>
    </row>
    <row r="204">
      <c r="I204" s="97"/>
    </row>
    <row r="205">
      <c r="I205" s="97"/>
    </row>
    <row r="206">
      <c r="I206" s="97"/>
    </row>
    <row r="207">
      <c r="I207" s="97"/>
    </row>
    <row r="208">
      <c r="I208" s="97"/>
    </row>
    <row r="209">
      <c r="I209" s="97"/>
    </row>
    <row r="210">
      <c r="I210" s="97"/>
    </row>
    <row r="211">
      <c r="I211" s="97"/>
    </row>
    <row r="212">
      <c r="I212" s="97"/>
    </row>
    <row r="213">
      <c r="I213" s="97"/>
    </row>
    <row r="214">
      <c r="I214" s="97"/>
    </row>
    <row r="215">
      <c r="I215" s="97"/>
    </row>
    <row r="216">
      <c r="I216" s="97"/>
    </row>
    <row r="217">
      <c r="I217" s="97"/>
    </row>
    <row r="218">
      <c r="I218" s="97"/>
    </row>
    <row r="219">
      <c r="I219" s="97"/>
    </row>
    <row r="220">
      <c r="I220" s="97"/>
    </row>
    <row r="221">
      <c r="I221" s="97"/>
    </row>
    <row r="222">
      <c r="I222" s="97"/>
    </row>
    <row r="223">
      <c r="I223" s="97"/>
    </row>
    <row r="224">
      <c r="I224" s="97"/>
    </row>
    <row r="225">
      <c r="I225" s="97"/>
    </row>
    <row r="226">
      <c r="I226" s="97"/>
    </row>
    <row r="227">
      <c r="I227" s="97"/>
    </row>
    <row r="228">
      <c r="I228" s="97"/>
    </row>
    <row r="229">
      <c r="I229" s="97"/>
    </row>
    <row r="230">
      <c r="I230" s="97"/>
    </row>
    <row r="231">
      <c r="I231" s="97"/>
    </row>
    <row r="232">
      <c r="I232" s="97"/>
    </row>
    <row r="233">
      <c r="I233" s="97"/>
    </row>
    <row r="234">
      <c r="I234" s="97"/>
    </row>
    <row r="235">
      <c r="I235" s="97"/>
    </row>
    <row r="236">
      <c r="I236" s="97"/>
    </row>
    <row r="237">
      <c r="I237" s="97"/>
    </row>
    <row r="238">
      <c r="I238" s="97"/>
    </row>
    <row r="239">
      <c r="I239" s="97"/>
    </row>
    <row r="240">
      <c r="I240" s="97"/>
    </row>
    <row r="241">
      <c r="I241" s="97"/>
    </row>
    <row r="242">
      <c r="I242" s="97"/>
    </row>
    <row r="243">
      <c r="I243" s="97"/>
    </row>
    <row r="244">
      <c r="I244" s="97"/>
    </row>
    <row r="245">
      <c r="I245" s="97"/>
    </row>
    <row r="246">
      <c r="I246" s="97"/>
    </row>
    <row r="247">
      <c r="I247" s="97"/>
    </row>
    <row r="248">
      <c r="I248" s="97"/>
    </row>
    <row r="249">
      <c r="I249" s="97"/>
    </row>
    <row r="250">
      <c r="I250" s="97"/>
    </row>
    <row r="251">
      <c r="I251" s="97"/>
    </row>
    <row r="252">
      <c r="I252" s="97"/>
    </row>
    <row r="253">
      <c r="I253" s="97"/>
    </row>
    <row r="254">
      <c r="I254" s="97"/>
    </row>
    <row r="255">
      <c r="I255" s="97"/>
    </row>
    <row r="256">
      <c r="I256" s="97"/>
    </row>
    <row r="257">
      <c r="I257" s="97"/>
    </row>
    <row r="258">
      <c r="I258" s="97"/>
    </row>
    <row r="259">
      <c r="I259" s="97"/>
    </row>
    <row r="260">
      <c r="I260" s="97"/>
    </row>
    <row r="261">
      <c r="I261" s="97"/>
    </row>
    <row r="262">
      <c r="I262" s="97"/>
    </row>
    <row r="263">
      <c r="I263" s="97"/>
    </row>
    <row r="264">
      <c r="I264" s="97"/>
    </row>
    <row r="265">
      <c r="I265" s="97"/>
    </row>
    <row r="266">
      <c r="I266" s="97"/>
    </row>
    <row r="267">
      <c r="I267" s="97"/>
    </row>
    <row r="268">
      <c r="I268" s="97"/>
    </row>
    <row r="269">
      <c r="I269" s="97"/>
    </row>
    <row r="270">
      <c r="I270" s="97"/>
    </row>
    <row r="271">
      <c r="I271" s="97"/>
    </row>
    <row r="272">
      <c r="I272" s="97"/>
    </row>
    <row r="273">
      <c r="I273" s="97"/>
    </row>
    <row r="274">
      <c r="I274" s="97"/>
    </row>
    <row r="275">
      <c r="I275" s="97"/>
    </row>
    <row r="276">
      <c r="I276" s="97"/>
    </row>
    <row r="277">
      <c r="I277" s="97"/>
    </row>
    <row r="278">
      <c r="I278" s="97"/>
    </row>
    <row r="279">
      <c r="I279" s="97"/>
    </row>
    <row r="280">
      <c r="I280" s="97"/>
    </row>
    <row r="281">
      <c r="I281" s="97"/>
    </row>
    <row r="282">
      <c r="I282" s="97"/>
    </row>
    <row r="283">
      <c r="I283" s="97"/>
    </row>
    <row r="284">
      <c r="I284" s="97"/>
    </row>
    <row r="285">
      <c r="I285" s="97"/>
    </row>
    <row r="286">
      <c r="I286" s="97"/>
    </row>
    <row r="287">
      <c r="I287" s="97"/>
    </row>
    <row r="288">
      <c r="I288" s="97"/>
    </row>
    <row r="289">
      <c r="I289" s="97"/>
    </row>
    <row r="290">
      <c r="I290" s="97"/>
    </row>
    <row r="291">
      <c r="I291" s="97"/>
    </row>
    <row r="292">
      <c r="I292" s="97"/>
    </row>
    <row r="293">
      <c r="I293" s="97"/>
    </row>
    <row r="294">
      <c r="I294" s="97"/>
    </row>
    <row r="295">
      <c r="I295" s="97"/>
    </row>
    <row r="296">
      <c r="I296" s="97"/>
    </row>
    <row r="297">
      <c r="I297" s="97"/>
    </row>
    <row r="298">
      <c r="I298" s="97"/>
    </row>
    <row r="299">
      <c r="I299" s="97"/>
    </row>
    <row r="300">
      <c r="I300" s="97"/>
    </row>
    <row r="301">
      <c r="I301" s="97"/>
    </row>
    <row r="302">
      <c r="I302" s="97"/>
    </row>
    <row r="303">
      <c r="I303" s="97"/>
    </row>
    <row r="304">
      <c r="I304" s="97"/>
    </row>
    <row r="305">
      <c r="I305" s="97"/>
    </row>
    <row r="306">
      <c r="I306" s="97"/>
    </row>
    <row r="307">
      <c r="I307" s="97"/>
    </row>
    <row r="308">
      <c r="I308" s="97"/>
    </row>
    <row r="309">
      <c r="I309" s="97"/>
    </row>
    <row r="310">
      <c r="I310" s="97"/>
    </row>
    <row r="311">
      <c r="I311" s="97"/>
    </row>
    <row r="312">
      <c r="I312" s="97"/>
    </row>
    <row r="313">
      <c r="I313" s="97"/>
    </row>
    <row r="314">
      <c r="I314" s="97"/>
    </row>
    <row r="315">
      <c r="I315" s="97"/>
    </row>
    <row r="316">
      <c r="I316" s="97"/>
    </row>
    <row r="317">
      <c r="I317" s="97"/>
    </row>
    <row r="318">
      <c r="I318" s="97"/>
    </row>
    <row r="319">
      <c r="I319" s="97"/>
    </row>
    <row r="320">
      <c r="I320" s="97"/>
    </row>
    <row r="321">
      <c r="I321" s="97"/>
    </row>
    <row r="322">
      <c r="I322" s="97"/>
    </row>
    <row r="323">
      <c r="I323" s="97"/>
    </row>
    <row r="324">
      <c r="I324" s="97"/>
    </row>
    <row r="325">
      <c r="I325" s="97"/>
    </row>
    <row r="326">
      <c r="I326" s="97"/>
    </row>
    <row r="327">
      <c r="I327" s="97"/>
    </row>
    <row r="328">
      <c r="I328" s="97"/>
    </row>
    <row r="329">
      <c r="I329" s="97"/>
    </row>
    <row r="330">
      <c r="I330" s="97"/>
    </row>
    <row r="331">
      <c r="I331" s="97"/>
    </row>
    <row r="332">
      <c r="I332" s="97"/>
    </row>
    <row r="333">
      <c r="I333" s="97"/>
    </row>
    <row r="334">
      <c r="I334" s="97"/>
    </row>
    <row r="335">
      <c r="I335" s="97"/>
    </row>
    <row r="336">
      <c r="I336" s="97"/>
    </row>
    <row r="337">
      <c r="I337" s="97"/>
    </row>
    <row r="338">
      <c r="I338" s="97"/>
    </row>
    <row r="339">
      <c r="I339" s="97"/>
    </row>
    <row r="340">
      <c r="I340" s="97"/>
    </row>
    <row r="341">
      <c r="I341" s="97"/>
    </row>
    <row r="342">
      <c r="I342" s="97"/>
    </row>
    <row r="343">
      <c r="I343" s="97"/>
    </row>
    <row r="344">
      <c r="I344" s="97"/>
    </row>
    <row r="345">
      <c r="I345" s="97"/>
    </row>
    <row r="346">
      <c r="I346" s="97"/>
    </row>
    <row r="347">
      <c r="I347" s="97"/>
    </row>
    <row r="348">
      <c r="I348" s="97"/>
    </row>
    <row r="349">
      <c r="I349" s="97"/>
    </row>
    <row r="350">
      <c r="I350" s="97"/>
    </row>
    <row r="351">
      <c r="I351" s="97"/>
    </row>
    <row r="352">
      <c r="I352" s="97"/>
    </row>
    <row r="353">
      <c r="I353" s="97"/>
    </row>
    <row r="354">
      <c r="I354" s="97"/>
    </row>
    <row r="355">
      <c r="I355" s="97"/>
    </row>
    <row r="356">
      <c r="I356" s="97"/>
    </row>
    <row r="357">
      <c r="I357" s="97"/>
    </row>
    <row r="358">
      <c r="I358" s="97"/>
    </row>
    <row r="359">
      <c r="I359" s="97"/>
    </row>
    <row r="360">
      <c r="I360" s="97"/>
    </row>
    <row r="361">
      <c r="I361" s="97"/>
    </row>
    <row r="362">
      <c r="I362" s="97"/>
    </row>
    <row r="363">
      <c r="I363" s="97"/>
    </row>
    <row r="364">
      <c r="I364" s="97"/>
    </row>
    <row r="365">
      <c r="I365" s="97"/>
    </row>
    <row r="366">
      <c r="I366" s="97"/>
    </row>
    <row r="367">
      <c r="I367" s="97"/>
    </row>
    <row r="368">
      <c r="I368" s="97"/>
    </row>
    <row r="369">
      <c r="I369" s="97"/>
    </row>
    <row r="370">
      <c r="I370" s="97"/>
    </row>
    <row r="371">
      <c r="I371" s="97"/>
    </row>
    <row r="372">
      <c r="I372" s="97"/>
    </row>
    <row r="373">
      <c r="I373" s="97"/>
    </row>
    <row r="374">
      <c r="I374" s="97"/>
    </row>
    <row r="375">
      <c r="I375" s="97"/>
    </row>
    <row r="376">
      <c r="I376" s="97"/>
    </row>
    <row r="377">
      <c r="I377" s="97"/>
    </row>
    <row r="378">
      <c r="I378" s="97"/>
    </row>
    <row r="379">
      <c r="I379" s="97"/>
    </row>
    <row r="380">
      <c r="I380" s="97"/>
    </row>
    <row r="381">
      <c r="I381" s="97"/>
    </row>
    <row r="382">
      <c r="I382" s="97"/>
    </row>
    <row r="383">
      <c r="I383" s="97"/>
    </row>
    <row r="384">
      <c r="I384" s="97"/>
    </row>
    <row r="385">
      <c r="I385" s="97"/>
    </row>
    <row r="386">
      <c r="I386" s="97"/>
    </row>
    <row r="387">
      <c r="I387" s="97"/>
    </row>
    <row r="388">
      <c r="I388" s="97"/>
    </row>
    <row r="389">
      <c r="I389" s="97"/>
    </row>
    <row r="390">
      <c r="I390" s="97"/>
    </row>
    <row r="391">
      <c r="I391" s="97"/>
    </row>
    <row r="392">
      <c r="I392" s="97"/>
    </row>
    <row r="393">
      <c r="I393" s="97"/>
    </row>
    <row r="394">
      <c r="I394" s="97"/>
    </row>
    <row r="395">
      <c r="I395" s="97"/>
    </row>
    <row r="396">
      <c r="I396" s="97"/>
    </row>
    <row r="397">
      <c r="I397" s="97"/>
    </row>
    <row r="398">
      <c r="I398" s="97"/>
    </row>
    <row r="399">
      <c r="I399" s="97"/>
    </row>
    <row r="400">
      <c r="I400" s="97"/>
    </row>
    <row r="401">
      <c r="I401" s="97"/>
    </row>
    <row r="402">
      <c r="I402" s="97"/>
    </row>
    <row r="403">
      <c r="I403" s="97"/>
    </row>
    <row r="404">
      <c r="I404" s="97"/>
    </row>
    <row r="405">
      <c r="I405" s="97"/>
    </row>
    <row r="406">
      <c r="I406" s="97"/>
    </row>
    <row r="407">
      <c r="I407" s="97"/>
    </row>
    <row r="408">
      <c r="I408" s="97"/>
    </row>
    <row r="409">
      <c r="I409" s="97"/>
    </row>
    <row r="410">
      <c r="I410" s="97"/>
    </row>
    <row r="411">
      <c r="I411" s="97"/>
    </row>
    <row r="412">
      <c r="I412" s="97"/>
    </row>
    <row r="413">
      <c r="I413" s="97"/>
    </row>
    <row r="414">
      <c r="I414" s="97"/>
    </row>
    <row r="415">
      <c r="I415" s="97"/>
    </row>
    <row r="416">
      <c r="I416" s="97"/>
    </row>
    <row r="417">
      <c r="I417" s="97"/>
    </row>
    <row r="418">
      <c r="I418" s="97"/>
    </row>
    <row r="419">
      <c r="I419" s="97"/>
    </row>
    <row r="420">
      <c r="I420" s="97"/>
    </row>
    <row r="421">
      <c r="I421" s="97"/>
    </row>
    <row r="422">
      <c r="I422" s="97"/>
    </row>
    <row r="423">
      <c r="I423" s="97"/>
    </row>
    <row r="424">
      <c r="I424" s="97"/>
    </row>
    <row r="425">
      <c r="I425" s="97"/>
    </row>
    <row r="426">
      <c r="I426" s="97"/>
    </row>
    <row r="427">
      <c r="I427" s="97"/>
    </row>
    <row r="428">
      <c r="I428" s="97"/>
    </row>
    <row r="429">
      <c r="I429" s="97"/>
    </row>
    <row r="430">
      <c r="I430" s="97"/>
    </row>
    <row r="431">
      <c r="I431" s="97"/>
    </row>
    <row r="432">
      <c r="I432" s="97"/>
    </row>
    <row r="433">
      <c r="I433" s="97"/>
    </row>
    <row r="434">
      <c r="I434" s="97"/>
    </row>
    <row r="435">
      <c r="I435" s="97"/>
    </row>
    <row r="436">
      <c r="I436" s="97"/>
    </row>
    <row r="437">
      <c r="I437" s="97"/>
    </row>
    <row r="438">
      <c r="I438" s="97"/>
    </row>
    <row r="439">
      <c r="I439" s="97"/>
    </row>
    <row r="440">
      <c r="I440" s="97"/>
    </row>
    <row r="441">
      <c r="I441" s="97"/>
    </row>
    <row r="442">
      <c r="I442" s="97"/>
    </row>
    <row r="443">
      <c r="I443" s="97"/>
    </row>
    <row r="444">
      <c r="I444" s="97"/>
    </row>
    <row r="445">
      <c r="I445" s="97"/>
    </row>
    <row r="446">
      <c r="I446" s="97"/>
    </row>
    <row r="447">
      <c r="I447" s="97"/>
    </row>
    <row r="448">
      <c r="I448" s="97"/>
    </row>
    <row r="449">
      <c r="I449" s="97"/>
    </row>
    <row r="450">
      <c r="I450" s="97"/>
    </row>
    <row r="451">
      <c r="I451" s="97"/>
    </row>
    <row r="452">
      <c r="I452" s="97"/>
    </row>
    <row r="453">
      <c r="I453" s="97"/>
    </row>
    <row r="454">
      <c r="I454" s="97"/>
    </row>
    <row r="455">
      <c r="I455" s="97"/>
    </row>
    <row r="456">
      <c r="I456" s="97"/>
    </row>
    <row r="457">
      <c r="I457" s="97"/>
    </row>
    <row r="458">
      <c r="I458" s="97"/>
    </row>
    <row r="459">
      <c r="I459" s="97"/>
    </row>
    <row r="460">
      <c r="I460" s="97"/>
    </row>
    <row r="461">
      <c r="I461" s="97"/>
    </row>
    <row r="462">
      <c r="I462" s="97"/>
    </row>
    <row r="463">
      <c r="I463" s="97"/>
    </row>
    <row r="464">
      <c r="I464" s="97"/>
    </row>
    <row r="465">
      <c r="I465" s="97"/>
    </row>
    <row r="466">
      <c r="I466" s="97"/>
    </row>
    <row r="467">
      <c r="I467" s="97"/>
    </row>
    <row r="468">
      <c r="I468" s="97"/>
    </row>
    <row r="469">
      <c r="I469" s="97"/>
    </row>
    <row r="470">
      <c r="I470" s="97"/>
    </row>
    <row r="471">
      <c r="I471" s="97"/>
    </row>
    <row r="472">
      <c r="I472" s="97"/>
    </row>
    <row r="473">
      <c r="I473" s="97"/>
    </row>
    <row r="474">
      <c r="I474" s="97"/>
    </row>
    <row r="475">
      <c r="I475" s="97"/>
    </row>
    <row r="476">
      <c r="I476" s="97"/>
    </row>
    <row r="477">
      <c r="I477" s="97"/>
    </row>
    <row r="478">
      <c r="I478" s="97"/>
    </row>
    <row r="479">
      <c r="I479" s="97"/>
    </row>
    <row r="480">
      <c r="I480" s="97"/>
    </row>
    <row r="481">
      <c r="I481" s="97"/>
    </row>
    <row r="482">
      <c r="I482" s="97"/>
    </row>
    <row r="483">
      <c r="I483" s="97"/>
    </row>
    <row r="484">
      <c r="I484" s="97"/>
    </row>
    <row r="485">
      <c r="I485" s="97"/>
    </row>
    <row r="486">
      <c r="I486" s="97"/>
    </row>
    <row r="487">
      <c r="I487" s="97"/>
    </row>
    <row r="488">
      <c r="I488" s="97"/>
    </row>
    <row r="489">
      <c r="I489" s="97"/>
    </row>
    <row r="490">
      <c r="I490" s="97"/>
    </row>
    <row r="491">
      <c r="I491" s="97"/>
    </row>
    <row r="492">
      <c r="I492" s="97"/>
    </row>
    <row r="493">
      <c r="I493" s="97"/>
    </row>
    <row r="494">
      <c r="I494" s="97"/>
    </row>
    <row r="495">
      <c r="I495" s="97"/>
    </row>
    <row r="496">
      <c r="I496" s="97"/>
    </row>
    <row r="497">
      <c r="I497" s="97"/>
    </row>
    <row r="498">
      <c r="I498" s="97"/>
    </row>
    <row r="499">
      <c r="I499" s="97"/>
    </row>
    <row r="500">
      <c r="I500" s="97"/>
    </row>
    <row r="501">
      <c r="I501" s="97"/>
    </row>
    <row r="502">
      <c r="I502" s="97"/>
    </row>
    <row r="503">
      <c r="I503" s="97"/>
    </row>
    <row r="504">
      <c r="I504" s="97"/>
    </row>
    <row r="505">
      <c r="I505" s="97"/>
    </row>
    <row r="506">
      <c r="I506" s="97"/>
    </row>
    <row r="507">
      <c r="I507" s="97"/>
    </row>
    <row r="508">
      <c r="I508" s="97"/>
    </row>
    <row r="509">
      <c r="I509" s="97"/>
    </row>
    <row r="510">
      <c r="I510" s="97"/>
    </row>
    <row r="511">
      <c r="I511" s="97"/>
    </row>
    <row r="512">
      <c r="I512" s="97"/>
    </row>
    <row r="513">
      <c r="I513" s="97"/>
    </row>
    <row r="514">
      <c r="I514" s="97"/>
    </row>
    <row r="515">
      <c r="I515" s="97"/>
    </row>
    <row r="516">
      <c r="I516" s="97"/>
    </row>
    <row r="517">
      <c r="I517" s="97"/>
    </row>
    <row r="518">
      <c r="I518" s="97"/>
    </row>
    <row r="519">
      <c r="I519" s="97"/>
    </row>
    <row r="520">
      <c r="I520" s="97"/>
    </row>
    <row r="521">
      <c r="I521" s="97"/>
    </row>
    <row r="522">
      <c r="I522" s="97"/>
    </row>
    <row r="523">
      <c r="I523" s="97"/>
    </row>
    <row r="524">
      <c r="I524" s="97"/>
    </row>
    <row r="525">
      <c r="I525" s="97"/>
    </row>
    <row r="526">
      <c r="I526" s="97"/>
    </row>
    <row r="527">
      <c r="I527" s="97"/>
    </row>
    <row r="528">
      <c r="I528" s="97"/>
    </row>
    <row r="529">
      <c r="I529" s="97"/>
    </row>
    <row r="530">
      <c r="I530" s="97"/>
    </row>
    <row r="531">
      <c r="I531" s="97"/>
    </row>
    <row r="532">
      <c r="I532" s="97"/>
    </row>
    <row r="533">
      <c r="I533" s="97"/>
    </row>
    <row r="534">
      <c r="I534" s="97"/>
    </row>
    <row r="535">
      <c r="I535" s="97"/>
    </row>
    <row r="536">
      <c r="I536" s="97"/>
    </row>
    <row r="537">
      <c r="I537" s="97"/>
    </row>
    <row r="538">
      <c r="I538" s="97"/>
    </row>
    <row r="539">
      <c r="I539" s="97"/>
    </row>
    <row r="540">
      <c r="I540" s="97"/>
    </row>
    <row r="541">
      <c r="I541" s="97"/>
    </row>
    <row r="542">
      <c r="I542" s="97"/>
    </row>
    <row r="543">
      <c r="I543" s="97"/>
    </row>
    <row r="544">
      <c r="I544" s="97"/>
    </row>
    <row r="545">
      <c r="I545" s="97"/>
    </row>
    <row r="546">
      <c r="I546" s="97"/>
    </row>
    <row r="547">
      <c r="I547" s="97"/>
    </row>
    <row r="548">
      <c r="I548" s="97"/>
    </row>
    <row r="549">
      <c r="I549" s="97"/>
    </row>
    <row r="550">
      <c r="I550" s="97"/>
    </row>
    <row r="551">
      <c r="I551" s="97"/>
    </row>
    <row r="552">
      <c r="I552" s="97"/>
    </row>
    <row r="553">
      <c r="I553" s="97"/>
    </row>
    <row r="554">
      <c r="I554" s="97"/>
    </row>
    <row r="555">
      <c r="I555" s="97"/>
    </row>
    <row r="556">
      <c r="I556" s="97"/>
    </row>
    <row r="557">
      <c r="I557" s="97"/>
    </row>
    <row r="558">
      <c r="I558" s="97"/>
    </row>
    <row r="559">
      <c r="I559" s="97"/>
    </row>
    <row r="560">
      <c r="I560" s="97"/>
    </row>
    <row r="561">
      <c r="I561" s="97"/>
    </row>
    <row r="562">
      <c r="I562" s="97"/>
    </row>
    <row r="563">
      <c r="I563" s="97"/>
    </row>
    <row r="564">
      <c r="I564" s="97"/>
    </row>
    <row r="565">
      <c r="I565" s="97"/>
    </row>
    <row r="566">
      <c r="I566" s="97"/>
    </row>
    <row r="567">
      <c r="I567" s="97"/>
    </row>
    <row r="568">
      <c r="I568" s="97"/>
    </row>
    <row r="569">
      <c r="I569" s="97"/>
    </row>
    <row r="570">
      <c r="I570" s="97"/>
    </row>
    <row r="571">
      <c r="I571" s="97"/>
    </row>
    <row r="572">
      <c r="I572" s="97"/>
    </row>
    <row r="573">
      <c r="I573" s="97"/>
    </row>
    <row r="574">
      <c r="I574" s="97"/>
    </row>
    <row r="575">
      <c r="I575" s="97"/>
    </row>
    <row r="576">
      <c r="I576" s="97"/>
    </row>
    <row r="577">
      <c r="I577" s="97"/>
    </row>
    <row r="578">
      <c r="I578" s="97"/>
    </row>
    <row r="579">
      <c r="I579" s="97"/>
    </row>
    <row r="580">
      <c r="I580" s="97"/>
    </row>
    <row r="581">
      <c r="I581" s="97"/>
    </row>
    <row r="582">
      <c r="I582" s="97"/>
    </row>
    <row r="583">
      <c r="I583" s="97"/>
    </row>
    <row r="584">
      <c r="I584" s="97"/>
    </row>
    <row r="585">
      <c r="I585" s="97"/>
    </row>
    <row r="586">
      <c r="I586" s="97"/>
    </row>
    <row r="587">
      <c r="I587" s="97"/>
    </row>
    <row r="588">
      <c r="I588" s="97"/>
    </row>
    <row r="589">
      <c r="I589" s="97"/>
    </row>
    <row r="590">
      <c r="I590" s="97"/>
    </row>
    <row r="591">
      <c r="I591" s="97"/>
    </row>
    <row r="592">
      <c r="I592" s="97"/>
    </row>
    <row r="593">
      <c r="I593" s="97"/>
    </row>
    <row r="594">
      <c r="I594" s="97"/>
    </row>
    <row r="595">
      <c r="I595" s="97"/>
    </row>
    <row r="596">
      <c r="I596" s="97"/>
    </row>
    <row r="597">
      <c r="I597" s="97"/>
    </row>
    <row r="598">
      <c r="I598" s="97"/>
    </row>
    <row r="599">
      <c r="I599" s="97"/>
    </row>
    <row r="600">
      <c r="I600" s="97"/>
    </row>
    <row r="601">
      <c r="I601" s="97"/>
    </row>
    <row r="602">
      <c r="I602" s="97"/>
    </row>
    <row r="603">
      <c r="I603" s="97"/>
    </row>
    <row r="604">
      <c r="I604" s="97"/>
    </row>
    <row r="605">
      <c r="I605" s="97"/>
    </row>
    <row r="606">
      <c r="I606" s="97"/>
    </row>
    <row r="607">
      <c r="I607" s="97"/>
    </row>
    <row r="608">
      <c r="I608" s="97"/>
    </row>
    <row r="609">
      <c r="I609" s="97"/>
    </row>
    <row r="610">
      <c r="I610" s="97"/>
    </row>
    <row r="611">
      <c r="I611" s="97"/>
    </row>
    <row r="612">
      <c r="I612" s="97"/>
    </row>
    <row r="613">
      <c r="I613" s="97"/>
    </row>
    <row r="614">
      <c r="I614" s="97"/>
    </row>
    <row r="615">
      <c r="I615" s="97"/>
    </row>
    <row r="616">
      <c r="I616" s="97"/>
    </row>
    <row r="617">
      <c r="I617" s="97"/>
    </row>
    <row r="618">
      <c r="I618" s="97"/>
    </row>
    <row r="619">
      <c r="I619" s="97"/>
    </row>
    <row r="620">
      <c r="I620" s="97"/>
    </row>
    <row r="621">
      <c r="I621" s="97"/>
    </row>
    <row r="622">
      <c r="I622" s="97"/>
    </row>
    <row r="623">
      <c r="I623" s="97"/>
    </row>
    <row r="624">
      <c r="I624" s="97"/>
    </row>
    <row r="625">
      <c r="I625" s="97"/>
    </row>
    <row r="626">
      <c r="I626" s="97"/>
    </row>
    <row r="627">
      <c r="I627" s="97"/>
    </row>
    <row r="628">
      <c r="I628" s="97"/>
    </row>
    <row r="629">
      <c r="I629" s="97"/>
    </row>
    <row r="630">
      <c r="I630" s="97"/>
    </row>
    <row r="631">
      <c r="I631" s="97"/>
    </row>
    <row r="632">
      <c r="I632" s="97"/>
    </row>
    <row r="633">
      <c r="I633" s="97"/>
    </row>
    <row r="634">
      <c r="I634" s="97"/>
    </row>
    <row r="635">
      <c r="I635" s="97"/>
    </row>
    <row r="636">
      <c r="I636" s="97"/>
    </row>
    <row r="637">
      <c r="I637" s="97"/>
    </row>
    <row r="638">
      <c r="I638" s="97"/>
    </row>
    <row r="639">
      <c r="I639" s="97"/>
    </row>
    <row r="640">
      <c r="I640" s="97"/>
    </row>
    <row r="641">
      <c r="I641" s="97"/>
    </row>
    <row r="642">
      <c r="I642" s="97"/>
    </row>
    <row r="643">
      <c r="I643" s="97"/>
    </row>
    <row r="644">
      <c r="I644" s="97"/>
    </row>
    <row r="645">
      <c r="I645" s="97"/>
    </row>
    <row r="646">
      <c r="I646" s="97"/>
    </row>
    <row r="647">
      <c r="I647" s="97"/>
    </row>
    <row r="648">
      <c r="I648" s="97"/>
    </row>
    <row r="649">
      <c r="I649" s="97"/>
    </row>
    <row r="650">
      <c r="I650" s="97"/>
    </row>
    <row r="651">
      <c r="I651" s="97"/>
    </row>
    <row r="652">
      <c r="I652" s="97"/>
    </row>
    <row r="653">
      <c r="I653" s="97"/>
    </row>
    <row r="654">
      <c r="I654" s="97"/>
    </row>
    <row r="655">
      <c r="I655" s="97"/>
    </row>
    <row r="656">
      <c r="I656" s="97"/>
    </row>
    <row r="657">
      <c r="I657" s="97"/>
    </row>
    <row r="658">
      <c r="I658" s="97"/>
    </row>
    <row r="659">
      <c r="I659" s="97"/>
    </row>
    <row r="660">
      <c r="I660" s="97"/>
    </row>
    <row r="661">
      <c r="I661" s="97"/>
    </row>
    <row r="662">
      <c r="I662" s="97"/>
    </row>
    <row r="663">
      <c r="I663" s="97"/>
    </row>
    <row r="664">
      <c r="I664" s="97"/>
    </row>
    <row r="665">
      <c r="I665" s="97"/>
    </row>
    <row r="666">
      <c r="I666" s="97"/>
    </row>
    <row r="667">
      <c r="I667" s="97"/>
    </row>
    <row r="668">
      <c r="I668" s="97"/>
    </row>
    <row r="669">
      <c r="I669" s="97"/>
    </row>
    <row r="670">
      <c r="I670" s="97"/>
    </row>
    <row r="671">
      <c r="I671" s="97"/>
    </row>
    <row r="672">
      <c r="I672" s="97"/>
    </row>
    <row r="673">
      <c r="I673" s="97"/>
    </row>
    <row r="674">
      <c r="I674" s="97"/>
    </row>
    <row r="675">
      <c r="I675" s="97"/>
    </row>
    <row r="676">
      <c r="I676" s="97"/>
    </row>
    <row r="677">
      <c r="I677" s="97"/>
    </row>
    <row r="678">
      <c r="I678" s="97"/>
    </row>
    <row r="679">
      <c r="I679" s="97"/>
    </row>
    <row r="680">
      <c r="I680" s="97"/>
    </row>
    <row r="681">
      <c r="I681" s="97"/>
    </row>
    <row r="682">
      <c r="I682" s="97"/>
    </row>
    <row r="683">
      <c r="I683" s="97"/>
    </row>
    <row r="684">
      <c r="I684" s="97"/>
    </row>
    <row r="685">
      <c r="I685" s="97"/>
    </row>
    <row r="686">
      <c r="I686" s="97"/>
    </row>
    <row r="687">
      <c r="I687" s="97"/>
    </row>
    <row r="688">
      <c r="I688" s="97"/>
    </row>
    <row r="689">
      <c r="I689" s="97"/>
    </row>
    <row r="690">
      <c r="I690" s="97"/>
    </row>
    <row r="691">
      <c r="I691" s="97"/>
    </row>
    <row r="692">
      <c r="I692" s="97"/>
    </row>
    <row r="693">
      <c r="I693" s="97"/>
    </row>
    <row r="694">
      <c r="I694" s="97"/>
    </row>
    <row r="695">
      <c r="I695" s="97"/>
    </row>
    <row r="696">
      <c r="I696" s="97"/>
    </row>
    <row r="697">
      <c r="I697" s="97"/>
    </row>
    <row r="698">
      <c r="I698" s="97"/>
    </row>
    <row r="699">
      <c r="I699" s="97"/>
    </row>
    <row r="700">
      <c r="I700" s="97"/>
    </row>
    <row r="701">
      <c r="I701" s="97"/>
    </row>
    <row r="702">
      <c r="I702" s="97"/>
    </row>
    <row r="703">
      <c r="I703" s="97"/>
    </row>
    <row r="704">
      <c r="I704" s="97"/>
    </row>
    <row r="705">
      <c r="I705" s="97"/>
    </row>
    <row r="706">
      <c r="I706" s="97"/>
    </row>
    <row r="707">
      <c r="I707" s="97"/>
    </row>
    <row r="708">
      <c r="I708" s="97"/>
    </row>
    <row r="709">
      <c r="I709" s="97"/>
    </row>
    <row r="710">
      <c r="I710" s="97"/>
    </row>
    <row r="711">
      <c r="I711" s="97"/>
    </row>
    <row r="712">
      <c r="I712" s="97"/>
    </row>
    <row r="713">
      <c r="I713" s="97"/>
    </row>
    <row r="714">
      <c r="I714" s="97"/>
    </row>
    <row r="715">
      <c r="I715" s="97"/>
    </row>
    <row r="716">
      <c r="I716" s="97"/>
    </row>
    <row r="717">
      <c r="I717" s="97"/>
    </row>
    <row r="718">
      <c r="I718" s="97"/>
    </row>
    <row r="719">
      <c r="I719" s="97"/>
    </row>
    <row r="720">
      <c r="I720" s="97"/>
    </row>
    <row r="721">
      <c r="I721" s="97"/>
    </row>
    <row r="722">
      <c r="I722" s="97"/>
    </row>
    <row r="723">
      <c r="I723" s="97"/>
    </row>
    <row r="724">
      <c r="I724" s="97"/>
    </row>
    <row r="725">
      <c r="I725" s="97"/>
    </row>
    <row r="726">
      <c r="I726" s="97"/>
    </row>
    <row r="727">
      <c r="I727" s="97"/>
    </row>
    <row r="728">
      <c r="I728" s="97"/>
    </row>
    <row r="729">
      <c r="I729" s="97"/>
    </row>
    <row r="730">
      <c r="I730" s="97"/>
    </row>
    <row r="731">
      <c r="I731" s="97"/>
    </row>
    <row r="732">
      <c r="I732" s="97"/>
    </row>
    <row r="733">
      <c r="I733" s="97"/>
    </row>
    <row r="734">
      <c r="I734" s="97"/>
    </row>
    <row r="735">
      <c r="I735" s="97"/>
    </row>
    <row r="736">
      <c r="I736" s="97"/>
    </row>
    <row r="737">
      <c r="I737" s="97"/>
    </row>
    <row r="738">
      <c r="I738" s="97"/>
    </row>
    <row r="739">
      <c r="I739" s="97"/>
    </row>
    <row r="740">
      <c r="I740" s="97"/>
    </row>
    <row r="741">
      <c r="I741" s="97"/>
    </row>
    <row r="742">
      <c r="I742" s="97"/>
    </row>
    <row r="743">
      <c r="I743" s="97"/>
    </row>
    <row r="744">
      <c r="I744" s="97"/>
    </row>
    <row r="745">
      <c r="I745" s="97"/>
    </row>
    <row r="746">
      <c r="I746" s="97"/>
    </row>
    <row r="747">
      <c r="I747" s="97"/>
    </row>
    <row r="748">
      <c r="I748" s="97"/>
    </row>
    <row r="749">
      <c r="I749" s="97"/>
    </row>
    <row r="750">
      <c r="I750" s="97"/>
    </row>
    <row r="751">
      <c r="I751" s="97"/>
    </row>
    <row r="752">
      <c r="I752" s="97"/>
    </row>
    <row r="753">
      <c r="I753" s="97"/>
    </row>
    <row r="754">
      <c r="I754" s="97"/>
    </row>
    <row r="755">
      <c r="I755" s="97"/>
    </row>
    <row r="756">
      <c r="I756" s="97"/>
    </row>
    <row r="757">
      <c r="I757" s="97"/>
    </row>
    <row r="758">
      <c r="I758" s="97"/>
    </row>
    <row r="759">
      <c r="I759" s="97"/>
    </row>
    <row r="760">
      <c r="I760" s="97"/>
    </row>
    <row r="761">
      <c r="I761" s="97"/>
    </row>
    <row r="762">
      <c r="I762" s="97"/>
    </row>
    <row r="763">
      <c r="I763" s="97"/>
    </row>
    <row r="764">
      <c r="I764" s="97"/>
    </row>
    <row r="765">
      <c r="I765" s="97"/>
    </row>
    <row r="766">
      <c r="I766" s="97"/>
    </row>
    <row r="767">
      <c r="I767" s="97"/>
    </row>
    <row r="768">
      <c r="I768" s="97"/>
    </row>
    <row r="769">
      <c r="I769" s="97"/>
    </row>
    <row r="770">
      <c r="I770" s="97"/>
    </row>
    <row r="771">
      <c r="I771" s="97"/>
    </row>
    <row r="772">
      <c r="I772" s="97"/>
    </row>
    <row r="773">
      <c r="I773" s="97"/>
    </row>
    <row r="774">
      <c r="I774" s="97"/>
    </row>
    <row r="775">
      <c r="I775" s="97"/>
    </row>
    <row r="776">
      <c r="I776" s="97"/>
    </row>
    <row r="777">
      <c r="I777" s="97"/>
    </row>
    <row r="778">
      <c r="I778" s="97"/>
    </row>
    <row r="779">
      <c r="I779" s="97"/>
    </row>
    <row r="780">
      <c r="I780" s="97"/>
    </row>
    <row r="781">
      <c r="I781" s="97"/>
    </row>
    <row r="782">
      <c r="I782" s="97"/>
    </row>
    <row r="783">
      <c r="I783" s="97"/>
    </row>
    <row r="784">
      <c r="I784" s="97"/>
    </row>
    <row r="785">
      <c r="I785" s="97"/>
    </row>
    <row r="786">
      <c r="I786" s="97"/>
    </row>
    <row r="787">
      <c r="I787" s="97"/>
    </row>
    <row r="788">
      <c r="I788" s="97"/>
    </row>
    <row r="789">
      <c r="I789" s="97"/>
    </row>
    <row r="790">
      <c r="I790" s="97"/>
    </row>
    <row r="791">
      <c r="I791" s="97"/>
    </row>
    <row r="792">
      <c r="I792" s="97"/>
    </row>
    <row r="793">
      <c r="I793" s="97"/>
    </row>
    <row r="794">
      <c r="I794" s="97"/>
    </row>
    <row r="795">
      <c r="I795" s="97"/>
    </row>
    <row r="796">
      <c r="I796" s="97"/>
    </row>
    <row r="797">
      <c r="I797" s="97"/>
    </row>
    <row r="798">
      <c r="I798" s="97"/>
    </row>
    <row r="799">
      <c r="I799" s="97"/>
    </row>
    <row r="800">
      <c r="I800" s="97"/>
    </row>
    <row r="801">
      <c r="I801" s="97"/>
    </row>
    <row r="802">
      <c r="I802" s="97"/>
    </row>
    <row r="803">
      <c r="I803" s="97"/>
    </row>
    <row r="804">
      <c r="I804" s="97"/>
    </row>
    <row r="805">
      <c r="I805" s="97"/>
    </row>
    <row r="806">
      <c r="I806" s="97"/>
    </row>
    <row r="807">
      <c r="I807" s="97"/>
    </row>
    <row r="808">
      <c r="I808" s="97"/>
    </row>
    <row r="809">
      <c r="I809" s="97"/>
    </row>
    <row r="810">
      <c r="I810" s="97"/>
    </row>
    <row r="811">
      <c r="I811" s="97"/>
    </row>
    <row r="812">
      <c r="I812" s="97"/>
    </row>
    <row r="813">
      <c r="I813" s="97"/>
    </row>
    <row r="814">
      <c r="I814" s="97"/>
    </row>
    <row r="815">
      <c r="I815" s="97"/>
    </row>
    <row r="816">
      <c r="I816" s="97"/>
    </row>
    <row r="817">
      <c r="I817" s="97"/>
    </row>
    <row r="818">
      <c r="I818" s="97"/>
    </row>
    <row r="819">
      <c r="I819" s="97"/>
    </row>
    <row r="820">
      <c r="I820" s="97"/>
    </row>
    <row r="821">
      <c r="I821" s="97"/>
    </row>
    <row r="822">
      <c r="I822" s="97"/>
    </row>
    <row r="823">
      <c r="I823" s="97"/>
    </row>
    <row r="824">
      <c r="I824" s="97"/>
    </row>
    <row r="825">
      <c r="I825" s="97"/>
    </row>
    <row r="826">
      <c r="I826" s="97"/>
    </row>
    <row r="827">
      <c r="I827" s="97"/>
    </row>
    <row r="828">
      <c r="I828" s="97"/>
    </row>
    <row r="829">
      <c r="I829" s="97"/>
    </row>
    <row r="830">
      <c r="I830" s="97"/>
    </row>
    <row r="831">
      <c r="I831" s="97"/>
    </row>
    <row r="832">
      <c r="I832" s="97"/>
    </row>
    <row r="833">
      <c r="I833" s="97"/>
    </row>
    <row r="834">
      <c r="I834" s="97"/>
    </row>
    <row r="835">
      <c r="I835" s="97"/>
    </row>
    <row r="836">
      <c r="I836" s="97"/>
    </row>
    <row r="837">
      <c r="I837" s="97"/>
    </row>
    <row r="838">
      <c r="I838" s="97"/>
    </row>
    <row r="839">
      <c r="I839" s="97"/>
    </row>
    <row r="840">
      <c r="I840" s="97"/>
    </row>
    <row r="841">
      <c r="I841" s="97"/>
    </row>
    <row r="842">
      <c r="I842" s="97"/>
    </row>
    <row r="843">
      <c r="I843" s="97"/>
    </row>
    <row r="844">
      <c r="I844" s="97"/>
    </row>
    <row r="845">
      <c r="I845" s="97"/>
    </row>
    <row r="846">
      <c r="I846" s="97"/>
    </row>
    <row r="847">
      <c r="I847" s="97"/>
    </row>
    <row r="848">
      <c r="I848" s="97"/>
    </row>
    <row r="849">
      <c r="I849" s="97"/>
    </row>
    <row r="850">
      <c r="I850" s="97"/>
    </row>
    <row r="851">
      <c r="I851" s="97"/>
    </row>
    <row r="852">
      <c r="I852" s="97"/>
    </row>
    <row r="853">
      <c r="I853" s="97"/>
    </row>
    <row r="854">
      <c r="I854" s="97"/>
    </row>
    <row r="855">
      <c r="I855" s="97"/>
    </row>
    <row r="856">
      <c r="I856" s="97"/>
    </row>
    <row r="857">
      <c r="I857" s="97"/>
    </row>
    <row r="858">
      <c r="I858" s="97"/>
    </row>
    <row r="859">
      <c r="I859" s="97"/>
    </row>
    <row r="860">
      <c r="I860" s="97"/>
    </row>
    <row r="861">
      <c r="I861" s="97"/>
    </row>
    <row r="862">
      <c r="I862" s="97"/>
    </row>
    <row r="863">
      <c r="I863" s="97"/>
    </row>
    <row r="864">
      <c r="I864" s="97"/>
    </row>
    <row r="865">
      <c r="I865" s="97"/>
    </row>
    <row r="866">
      <c r="I866" s="97"/>
    </row>
    <row r="867">
      <c r="I867" s="97"/>
    </row>
    <row r="868">
      <c r="I868" s="97"/>
    </row>
    <row r="869">
      <c r="I869" s="97"/>
    </row>
    <row r="870">
      <c r="I870" s="97"/>
    </row>
    <row r="871">
      <c r="I871" s="97"/>
    </row>
    <row r="872">
      <c r="I872" s="97"/>
    </row>
    <row r="873">
      <c r="I873" s="97"/>
    </row>
    <row r="874">
      <c r="I874" s="97"/>
    </row>
    <row r="875">
      <c r="I875" s="97"/>
    </row>
    <row r="876">
      <c r="I876" s="97"/>
    </row>
    <row r="877">
      <c r="I877" s="97"/>
    </row>
    <row r="878">
      <c r="I878" s="97"/>
    </row>
    <row r="879">
      <c r="I879" s="97"/>
    </row>
    <row r="880">
      <c r="I880" s="97"/>
    </row>
    <row r="881">
      <c r="I881" s="97"/>
    </row>
    <row r="882">
      <c r="I882" s="97"/>
    </row>
    <row r="883">
      <c r="I883" s="97"/>
    </row>
    <row r="884">
      <c r="I884" s="97"/>
    </row>
    <row r="885">
      <c r="I885" s="97"/>
    </row>
    <row r="886">
      <c r="I886" s="97"/>
    </row>
    <row r="887">
      <c r="I887" s="97"/>
    </row>
    <row r="888">
      <c r="I888" s="97"/>
    </row>
    <row r="889">
      <c r="I889" s="97"/>
    </row>
    <row r="890">
      <c r="I890" s="97"/>
    </row>
    <row r="891">
      <c r="I891" s="97"/>
    </row>
    <row r="892">
      <c r="I892" s="97"/>
    </row>
    <row r="893">
      <c r="I893" s="97"/>
    </row>
    <row r="894">
      <c r="I894" s="97"/>
    </row>
    <row r="895">
      <c r="I895" s="97"/>
    </row>
    <row r="896">
      <c r="I896" s="97"/>
    </row>
    <row r="897">
      <c r="I897" s="97"/>
    </row>
    <row r="898">
      <c r="I898" s="97"/>
    </row>
    <row r="899">
      <c r="I899" s="97"/>
    </row>
    <row r="900">
      <c r="I900" s="97"/>
    </row>
    <row r="901">
      <c r="I901" s="97"/>
    </row>
    <row r="902">
      <c r="I902" s="97"/>
    </row>
    <row r="903">
      <c r="I903" s="97"/>
    </row>
    <row r="904">
      <c r="I904" s="97"/>
    </row>
    <row r="905">
      <c r="I905" s="97"/>
    </row>
    <row r="906">
      <c r="I906" s="97"/>
    </row>
    <row r="907">
      <c r="I907" s="97"/>
    </row>
    <row r="908">
      <c r="I908" s="97"/>
    </row>
    <row r="909">
      <c r="I909" s="97"/>
    </row>
    <row r="910">
      <c r="I910" s="97"/>
    </row>
    <row r="911">
      <c r="I911" s="97"/>
    </row>
    <row r="912">
      <c r="I912" s="97"/>
    </row>
    <row r="913">
      <c r="I913" s="97"/>
    </row>
    <row r="914">
      <c r="I914" s="97"/>
    </row>
    <row r="915">
      <c r="I915" s="97"/>
    </row>
    <row r="916">
      <c r="I916" s="97"/>
    </row>
    <row r="917">
      <c r="I917" s="97"/>
    </row>
    <row r="918">
      <c r="I918" s="97"/>
    </row>
    <row r="919">
      <c r="I919" s="97"/>
    </row>
    <row r="920">
      <c r="I920" s="97"/>
    </row>
    <row r="921">
      <c r="I921" s="97"/>
    </row>
    <row r="922">
      <c r="I922" s="97"/>
    </row>
    <row r="923">
      <c r="I923" s="97"/>
    </row>
    <row r="924">
      <c r="I924" s="97"/>
    </row>
    <row r="925">
      <c r="I925" s="97"/>
    </row>
    <row r="926">
      <c r="I926" s="97"/>
    </row>
    <row r="927">
      <c r="I927" s="97"/>
    </row>
    <row r="928">
      <c r="I928" s="97"/>
    </row>
    <row r="929">
      <c r="I929" s="97"/>
    </row>
    <row r="930">
      <c r="I930" s="97"/>
    </row>
    <row r="931">
      <c r="I931" s="97"/>
    </row>
    <row r="932">
      <c r="I932" s="97"/>
    </row>
    <row r="933">
      <c r="I933" s="97"/>
    </row>
    <row r="934">
      <c r="I934" s="97"/>
    </row>
    <row r="935">
      <c r="I935" s="97"/>
    </row>
    <row r="936">
      <c r="I936" s="97"/>
    </row>
    <row r="937">
      <c r="I937" s="97"/>
    </row>
    <row r="938">
      <c r="I938" s="97"/>
    </row>
    <row r="939">
      <c r="I939" s="97"/>
    </row>
    <row r="940">
      <c r="I940" s="97"/>
    </row>
    <row r="941">
      <c r="I941" s="97"/>
    </row>
    <row r="942">
      <c r="I942" s="97"/>
    </row>
    <row r="943">
      <c r="I943" s="97"/>
    </row>
    <row r="944">
      <c r="I944" s="97"/>
    </row>
    <row r="945">
      <c r="I945" s="97"/>
    </row>
    <row r="946">
      <c r="I946" s="97"/>
    </row>
    <row r="947">
      <c r="I947" s="97"/>
    </row>
    <row r="948">
      <c r="I948" s="97"/>
    </row>
    <row r="949">
      <c r="I949" s="97"/>
    </row>
    <row r="950">
      <c r="I950" s="97"/>
    </row>
    <row r="951">
      <c r="I951" s="97"/>
    </row>
    <row r="952">
      <c r="I952" s="97"/>
    </row>
    <row r="953">
      <c r="I953" s="97"/>
    </row>
    <row r="954">
      <c r="I954" s="97"/>
    </row>
    <row r="955">
      <c r="I955" s="97"/>
    </row>
    <row r="956">
      <c r="I956" s="97"/>
    </row>
    <row r="957">
      <c r="I957" s="97"/>
    </row>
    <row r="958">
      <c r="I958" s="97"/>
    </row>
    <row r="959">
      <c r="I959" s="97"/>
    </row>
    <row r="960">
      <c r="I960" s="97"/>
    </row>
    <row r="961">
      <c r="I961" s="97"/>
    </row>
    <row r="962">
      <c r="I962" s="97"/>
    </row>
    <row r="963">
      <c r="I963" s="97"/>
    </row>
    <row r="964">
      <c r="I964" s="97"/>
    </row>
    <row r="965">
      <c r="I965" s="97"/>
    </row>
    <row r="966">
      <c r="I966" s="97"/>
    </row>
    <row r="967">
      <c r="I967" s="97"/>
    </row>
    <row r="968">
      <c r="I968" s="97"/>
    </row>
    <row r="969">
      <c r="I969" s="97"/>
    </row>
    <row r="970">
      <c r="I970" s="97"/>
    </row>
    <row r="971">
      <c r="I971" s="97"/>
    </row>
    <row r="972">
      <c r="I972" s="97"/>
    </row>
    <row r="973">
      <c r="I973" s="97"/>
    </row>
    <row r="974">
      <c r="I974" s="97"/>
    </row>
    <row r="975">
      <c r="I975" s="97"/>
    </row>
    <row r="976">
      <c r="I976" s="97"/>
    </row>
    <row r="977">
      <c r="I977" s="97"/>
    </row>
    <row r="978">
      <c r="I978" s="97"/>
    </row>
    <row r="979">
      <c r="I979" s="97"/>
    </row>
    <row r="980">
      <c r="I980" s="97"/>
    </row>
    <row r="981">
      <c r="I981" s="97"/>
    </row>
    <row r="982">
      <c r="I982" s="97"/>
    </row>
    <row r="983">
      <c r="I983" s="97"/>
    </row>
    <row r="984">
      <c r="I984" s="97"/>
    </row>
    <row r="985">
      <c r="I985" s="97"/>
    </row>
    <row r="986">
      <c r="I986" s="97"/>
    </row>
    <row r="987">
      <c r="I987" s="97"/>
    </row>
    <row r="988">
      <c r="I988" s="97"/>
    </row>
    <row r="989">
      <c r="I989" s="97"/>
    </row>
    <row r="990">
      <c r="I990" s="97"/>
    </row>
    <row r="991">
      <c r="I991" s="97"/>
    </row>
    <row r="992">
      <c r="I992" s="97"/>
    </row>
    <row r="993">
      <c r="I993" s="97"/>
    </row>
    <row r="994">
      <c r="I994" s="97"/>
    </row>
    <row r="995">
      <c r="I995" s="97"/>
    </row>
    <row r="996">
      <c r="I996" s="97"/>
    </row>
    <row r="997">
      <c r="I997" s="97"/>
    </row>
    <row r="998">
      <c r="I998" s="97"/>
    </row>
    <row r="999">
      <c r="I999" s="97"/>
    </row>
    <row r="1000">
      <c r="I1000" s="97"/>
    </row>
  </sheetData>
  <mergeCells count="4">
    <mergeCell ref="A1:A2"/>
    <mergeCell ref="B1:E1"/>
    <mergeCell ref="F1:I1"/>
    <mergeCell ref="J1:M1"/>
  </mergeCells>
  <conditionalFormatting sqref="C3:C20 G3:G20 K3:K20">
    <cfRule type="cellIs" dxfId="5" priority="1" stopIfTrue="1" operator="equal">
      <formula>"Male"</formula>
    </cfRule>
  </conditionalFormatting>
  <conditionalFormatting sqref="C3:C20 G3:G20 K3:K20">
    <cfRule type="cellIs" dxfId="6" priority="2" stopIfTrue="1" operator="equal">
      <formula>"Female"</formula>
    </cfRule>
  </conditionalFormatting>
  <dataValidations>
    <dataValidation type="list" allowBlank="1" sqref="C3:C20 G3:G20 K3:K20">
      <formula1>"Male,Female"</formula1>
    </dataValidation>
  </dataValidations>
  <hyperlinks>
    <hyperlink r:id="rId1" ref="L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6"/>
    <hyperlink r:id="rId14" ref="D17"/>
    <hyperlink r:id="rId15" ref="D18"/>
    <hyperlink r:id="rId16" ref="D19"/>
    <hyperlink r:id="rId17" ref="D20"/>
  </hyperlinks>
  <printOptions gridLines="1" horizontalCentered="1"/>
  <pageMargins bottom="0.75" footer="0.0" header="0.0" left="0.7" right="0.7" top="0.75"/>
  <pageSetup fitToHeight="0" cellComments="atEnd" orientation="landscape" pageOrder="overThenDown"/>
  <drawing r:id="rId18"/>
  <tableParts count="5">
    <tablePart r:id="rId24"/>
    <tablePart r:id="rId25"/>
    <tablePart r:id="rId26"/>
    <tablePart r:id="rId27"/>
    <tablePart r:id="rId2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16</v>
      </c>
      <c r="B1" s="5"/>
      <c r="C1" s="6" t="s">
        <v>17</v>
      </c>
      <c r="D1" s="4" t="s">
        <v>18</v>
      </c>
      <c r="E1" s="4" t="s">
        <v>19</v>
      </c>
      <c r="F1" s="4" t="s">
        <v>21</v>
      </c>
      <c r="G1" s="4" t="s">
        <v>22</v>
      </c>
      <c r="H1" s="4" t="s">
        <v>23</v>
      </c>
      <c r="I1" s="4" t="s">
        <v>24</v>
      </c>
      <c r="J1" s="4" t="s">
        <v>25</v>
      </c>
      <c r="K1" s="4" t="s">
        <v>26</v>
      </c>
      <c r="L1" s="4" t="s">
        <v>27</v>
      </c>
      <c r="M1" s="4" t="s">
        <v>28</v>
      </c>
      <c r="N1" s="4" t="s">
        <v>29</v>
      </c>
      <c r="O1" s="4" t="s">
        <v>30</v>
      </c>
    </row>
    <row r="2">
      <c r="A2" s="8">
        <v>1.0</v>
      </c>
      <c r="B2" s="15" t="str">
        <f t="shared" ref="B2:B61" si="1">IF(COUNTA(D2:F2)=3,IF(COUNTA(H2:O2)=8,"Entry Submitted Successfully","Event Entry Details Pending"),"Event Entry Details Pending")</f>
        <v>Entry Submitted Successfully</v>
      </c>
      <c r="C2" s="17" t="s">
        <v>36</v>
      </c>
      <c r="D2" s="17" t="s">
        <v>38</v>
      </c>
      <c r="E2" s="17" t="s">
        <v>41</v>
      </c>
      <c r="F2" s="23" t="s">
        <v>43</v>
      </c>
      <c r="G2" s="23" t="s">
        <v>46</v>
      </c>
      <c r="H2" s="25">
        <v>46178.0</v>
      </c>
      <c r="I2" s="25">
        <v>46178.0</v>
      </c>
      <c r="J2" s="17" t="s">
        <v>50</v>
      </c>
      <c r="K2" s="8">
        <v>3.0</v>
      </c>
      <c r="L2" s="8">
        <v>293.0</v>
      </c>
      <c r="M2" s="8">
        <v>2.0</v>
      </c>
      <c r="N2" s="8">
        <v>293.0</v>
      </c>
      <c r="O2" s="17" t="str">
        <f t="shared" ref="O2:O3" si="2">IF(F2="CHARUSAT NSS Cell","Prof. Kishan Patel",
IF(F2="ARIP NSS Unit","Dr. Shreya Swami",
IF(F2="BDIPS NSS Unit","Dr. Suchitra Parge",
IF(F2="CMPICA NSS Unit","Dr. Hardik Bhalchandra Pandit",
IF(F2="IIIM NSS Unit","Dr. Poonam Amrutia",
IF(F2="PDPIAS NSS Unit","Dr. Rajesh V. Savalia",
IF(F2="RPCP NSS Unit","Prof. Hardik Koria",
IF(F2="MTIN NSS Unit","Prof. Hetal Shah",
IF(F2="CSPIT CE NSS Unit","Prof. Martin Parmar",
IF(F2="CSPIT CSE NSS Unit","Prof. Dharmendrasinh Rathod",
IF(F2="CSPIT IT NSS Unit","Prof. Rajnik S. Katariya",
IF(F2="CSPIT EC NSS Unit","Prof. Akshay Patel",
IF(F2="CSPIT EE NSS Unit","Prof. Ankur Patel",
IF(F2="CSPIT ME NSS Unit","Prof. Satayu Travadi",
IF(F2="CSPIT Civil NSS Unit","Prof. Megha Desai",
IF(F2="CSPIT AIML NSS Unit","Prof. Gaurav Kumar",
IF(F2="DEPSTAR CE NSS Unit","Prof. Kashyap Patel",
IF(F2="DEPSTAR CS NSS Unit","Prof. Gaurang Patel",
IF(F2="DEPSTAR IT NSS Unit","Prof. Hitesh Makwana","")))))))))))))))))))</f>
        <v>Dr. Shreya Swami</v>
      </c>
    </row>
    <row r="3">
      <c r="A3" s="33">
        <v>2.0</v>
      </c>
      <c r="B3" s="15" t="str">
        <f t="shared" si="1"/>
        <v>Entry Submitted Successfully</v>
      </c>
      <c r="C3" s="17" t="s">
        <v>36</v>
      </c>
      <c r="D3" s="34" t="s">
        <v>67</v>
      </c>
      <c r="E3" s="34" t="s">
        <v>68</v>
      </c>
      <c r="F3" s="23" t="s">
        <v>69</v>
      </c>
      <c r="G3" s="23" t="s">
        <v>46</v>
      </c>
      <c r="H3" s="36">
        <v>46184.0</v>
      </c>
      <c r="I3" s="36">
        <v>46184.0</v>
      </c>
      <c r="J3" s="34" t="s">
        <v>74</v>
      </c>
      <c r="K3" s="37">
        <v>1.5</v>
      </c>
      <c r="L3" s="33">
        <v>67.0</v>
      </c>
      <c r="M3" s="33">
        <v>4.0</v>
      </c>
      <c r="N3" s="33">
        <v>67.0</v>
      </c>
      <c r="O3" s="17" t="str">
        <f t="shared" si="2"/>
        <v>Prof. Hetal Shah</v>
      </c>
    </row>
    <row r="4">
      <c r="A4" s="8">
        <v>3.0</v>
      </c>
      <c r="B4" s="15" t="str">
        <f t="shared" si="1"/>
        <v>Entry Submitted Successfully</v>
      </c>
      <c r="C4" s="17" t="s">
        <v>36</v>
      </c>
      <c r="D4" s="17" t="s">
        <v>80</v>
      </c>
      <c r="E4" s="17" t="s">
        <v>68</v>
      </c>
      <c r="F4" s="23" t="s">
        <v>81</v>
      </c>
      <c r="G4" s="23" t="s">
        <v>46</v>
      </c>
      <c r="H4" s="25">
        <v>46190.0</v>
      </c>
      <c r="I4" s="25">
        <v>46190.0</v>
      </c>
      <c r="J4" s="17" t="s">
        <v>84</v>
      </c>
      <c r="K4" s="8">
        <v>2.0</v>
      </c>
      <c r="L4" s="8">
        <v>75.0</v>
      </c>
      <c r="M4" s="8">
        <v>3.0</v>
      </c>
      <c r="N4" s="8">
        <v>75.0</v>
      </c>
      <c r="O4" s="17" t="s">
        <v>87</v>
      </c>
    </row>
    <row r="5">
      <c r="A5" s="33">
        <v>4.0</v>
      </c>
      <c r="B5" s="15" t="str">
        <f t="shared" si="1"/>
        <v>Entry Submitted Successfully</v>
      </c>
      <c r="C5" s="17" t="s">
        <v>36</v>
      </c>
      <c r="D5" s="34" t="s">
        <v>89</v>
      </c>
      <c r="E5" s="34" t="s">
        <v>68</v>
      </c>
      <c r="F5" s="23" t="s">
        <v>93</v>
      </c>
      <c r="G5" s="23" t="s">
        <v>46</v>
      </c>
      <c r="H5" s="36">
        <v>46191.0</v>
      </c>
      <c r="I5" s="36">
        <v>46191.0</v>
      </c>
      <c r="J5" s="34" t="s">
        <v>96</v>
      </c>
      <c r="K5" s="33">
        <v>2.0</v>
      </c>
      <c r="L5" s="33">
        <v>26.0</v>
      </c>
      <c r="M5" s="33">
        <v>4.0</v>
      </c>
      <c r="N5" s="33">
        <v>26.0</v>
      </c>
      <c r="O5" s="17" t="str">
        <f t="shared" ref="O5:O9" si="3">IF(F5="CHARUSAT NSS Cell","Prof. Kishan Patel",
IF(F5="ARIP NSS Unit","Dr. Shreya Swami",
IF(F5="BDIPS NSS Unit","Dr. Suchitra Parge",
IF(F5="CMPICA NSS Unit","Dr. Hardik Bhalchandra Pandit",
IF(F5="IIIM NSS Unit","Dr. Poonam Amrutia",
IF(F5="PDPIAS NSS Unit","Dr. Rajesh V. Savalia",
IF(F5="RPCP NSS Unit","Prof. Hardik Koria",
IF(F5="MTIN NSS Unit","Prof. Hetal Shah",
IF(F5="CSPIT CE NSS Unit","Prof. Martin Parmar",
IF(F5="CSPIT CSE NSS Unit","Prof. Dharmendrasinh Rathod",
IF(F5="CSPIT IT NSS Unit","Prof. Rajnik S. Katariya",
IF(F5="CSPIT EC NSS Unit","Prof. Akshay Patel",
IF(F5="CSPIT EE NSS Unit","Prof. Ankur Patel",
IF(F5="CSPIT ME NSS Unit","Prof. Satayu Travadi",
IF(F5="CSPIT Civil NSS Unit","Prof. Megha Desai",
IF(F5="CSPIT AIML NSS Unit","Prof. Gaurav Kumar",
IF(F5="DEPSTAR CE NSS Unit","Prof. Kashyap Patel",
IF(F5="DEPSTAR CS NSS Unit","Prof. Gaurang Patel",
IF(F5="DEPSTAR IT NSS Unit","Prof. Hitesh Makwana","")))))))))))))))))))</f>
        <v>Dr. Poonam Amrutia</v>
      </c>
    </row>
    <row r="6">
      <c r="A6" s="8">
        <v>5.0</v>
      </c>
      <c r="B6" s="15" t="str">
        <f t="shared" si="1"/>
        <v>Entry Submitted Successfully</v>
      </c>
      <c r="C6" s="17" t="s">
        <v>36</v>
      </c>
      <c r="D6" s="17" t="s">
        <v>119</v>
      </c>
      <c r="E6" s="17" t="s">
        <v>68</v>
      </c>
      <c r="F6" s="23" t="s">
        <v>43</v>
      </c>
      <c r="G6" s="23" t="s">
        <v>46</v>
      </c>
      <c r="H6" s="25">
        <v>46192.0</v>
      </c>
      <c r="I6" s="25">
        <v>46192.0</v>
      </c>
      <c r="J6" s="17" t="s">
        <v>125</v>
      </c>
      <c r="K6" s="8">
        <v>2.0</v>
      </c>
      <c r="L6" s="8">
        <v>57.0</v>
      </c>
      <c r="M6" s="8">
        <v>3.0</v>
      </c>
      <c r="N6" s="8">
        <v>57.0</v>
      </c>
      <c r="O6" s="17" t="str">
        <f t="shared" si="3"/>
        <v>Dr. Shreya Swami</v>
      </c>
    </row>
    <row r="7">
      <c r="A7" s="33">
        <v>6.0</v>
      </c>
      <c r="B7" s="15" t="str">
        <f t="shared" si="1"/>
        <v>Entry Submitted Successfully</v>
      </c>
      <c r="C7" s="17" t="s">
        <v>36</v>
      </c>
      <c r="D7" s="34" t="s">
        <v>130</v>
      </c>
      <c r="E7" s="34" t="s">
        <v>68</v>
      </c>
      <c r="F7" s="23" t="s">
        <v>131</v>
      </c>
      <c r="G7" s="23" t="s">
        <v>46</v>
      </c>
      <c r="H7" s="36">
        <v>46192.0</v>
      </c>
      <c r="I7" s="36">
        <v>46192.0</v>
      </c>
      <c r="J7" s="34" t="s">
        <v>96</v>
      </c>
      <c r="K7" s="33">
        <v>8.0</v>
      </c>
      <c r="L7" s="33">
        <v>302.0</v>
      </c>
      <c r="M7" s="33">
        <v>1.0</v>
      </c>
      <c r="N7" s="33">
        <v>302.0</v>
      </c>
      <c r="O7" s="17" t="str">
        <f t="shared" si="3"/>
        <v>Dr. Rajesh V. Savalia</v>
      </c>
    </row>
    <row r="8">
      <c r="A8" s="8">
        <v>7.0</v>
      </c>
      <c r="B8" s="15" t="str">
        <f t="shared" si="1"/>
        <v>Entry Submitted Successfully</v>
      </c>
      <c r="C8" s="17" t="s">
        <v>36</v>
      </c>
      <c r="D8" s="17" t="s">
        <v>141</v>
      </c>
      <c r="E8" s="17" t="s">
        <v>68</v>
      </c>
      <c r="F8" s="23" t="s">
        <v>142</v>
      </c>
      <c r="G8" s="23" t="s">
        <v>46</v>
      </c>
      <c r="H8" s="25">
        <v>46192.0</v>
      </c>
      <c r="I8" s="25">
        <v>46192.0</v>
      </c>
      <c r="J8" s="17" t="s">
        <v>96</v>
      </c>
      <c r="K8" s="8">
        <v>6.0</v>
      </c>
      <c r="L8" s="8">
        <v>104.0</v>
      </c>
      <c r="M8" s="8">
        <v>2.0</v>
      </c>
      <c r="N8" s="8">
        <v>104.0</v>
      </c>
      <c r="O8" s="64" t="str">
        <f t="shared" si="3"/>
        <v/>
      </c>
    </row>
    <row r="9">
      <c r="A9" s="33">
        <v>8.0</v>
      </c>
      <c r="B9" s="15" t="str">
        <f t="shared" si="1"/>
        <v>Entry Submitted Successfully</v>
      </c>
      <c r="C9" s="17" t="s">
        <v>36</v>
      </c>
      <c r="D9" s="17" t="s">
        <v>147</v>
      </c>
      <c r="E9" s="17" t="s">
        <v>68</v>
      </c>
      <c r="F9" s="23" t="s">
        <v>149</v>
      </c>
      <c r="G9" s="23" t="s">
        <v>46</v>
      </c>
      <c r="H9" s="25">
        <v>46194.0</v>
      </c>
      <c r="I9" s="25">
        <v>46194.0</v>
      </c>
      <c r="J9" s="34" t="s">
        <v>96</v>
      </c>
      <c r="K9" s="8">
        <v>4.0</v>
      </c>
      <c r="L9" s="8">
        <v>9.0</v>
      </c>
      <c r="M9" s="8">
        <v>1.0</v>
      </c>
      <c r="N9" s="8">
        <v>9.0</v>
      </c>
      <c r="O9" s="17" t="str">
        <f t="shared" si="3"/>
        <v>Prof. Hardik Koria</v>
      </c>
    </row>
    <row r="10">
      <c r="A10" s="8">
        <v>9.0</v>
      </c>
      <c r="B10" s="15" t="str">
        <f t="shared" si="1"/>
        <v>Entry Submitted Successfully</v>
      </c>
      <c r="C10" s="66"/>
      <c r="D10" s="67" t="s">
        <v>154</v>
      </c>
      <c r="E10" s="17" t="s">
        <v>68</v>
      </c>
      <c r="F10" s="23" t="s">
        <v>46</v>
      </c>
      <c r="G10" s="23" t="s">
        <v>155</v>
      </c>
      <c r="H10" s="25">
        <v>46194.0</v>
      </c>
      <c r="I10" s="25">
        <v>46194.0</v>
      </c>
      <c r="J10" s="17" t="s">
        <v>156</v>
      </c>
      <c r="K10" s="8">
        <v>3.0</v>
      </c>
      <c r="L10" s="8">
        <v>24.0</v>
      </c>
      <c r="M10" s="8">
        <v>2.0</v>
      </c>
      <c r="N10" s="8">
        <v>322.0</v>
      </c>
      <c r="O10" s="17" t="s">
        <v>157</v>
      </c>
    </row>
    <row r="11">
      <c r="A11" s="33">
        <v>10.0</v>
      </c>
      <c r="B11" s="15" t="str">
        <f t="shared" si="1"/>
        <v>Entry Submitted Successfully</v>
      </c>
      <c r="C11" s="17" t="s">
        <v>36</v>
      </c>
      <c r="D11" s="34" t="s">
        <v>159</v>
      </c>
      <c r="E11" s="34" t="s">
        <v>161</v>
      </c>
      <c r="F11" s="23" t="s">
        <v>93</v>
      </c>
      <c r="G11" s="23" t="s">
        <v>164</v>
      </c>
      <c r="H11" s="36">
        <v>46200.0</v>
      </c>
      <c r="I11" s="36">
        <v>46201.0</v>
      </c>
      <c r="J11" s="34" t="s">
        <v>165</v>
      </c>
      <c r="K11" s="33">
        <v>5.0</v>
      </c>
      <c r="L11" s="33">
        <v>14.0</v>
      </c>
      <c r="M11" s="33">
        <v>0.0</v>
      </c>
      <c r="N11" s="33">
        <v>435.0</v>
      </c>
      <c r="O11" s="17" t="s">
        <v>126</v>
      </c>
    </row>
    <row r="12">
      <c r="A12" s="8">
        <v>11.0</v>
      </c>
      <c r="B12" s="15" t="str">
        <f t="shared" si="1"/>
        <v>Entry Submitted Successfully</v>
      </c>
      <c r="C12" s="17" t="s">
        <v>36</v>
      </c>
      <c r="D12" s="68" t="s">
        <v>166</v>
      </c>
      <c r="E12" s="17" t="s">
        <v>161</v>
      </c>
      <c r="F12" s="23" t="s">
        <v>93</v>
      </c>
      <c r="G12" s="23" t="s">
        <v>46</v>
      </c>
      <c r="H12" s="25">
        <v>46209.0</v>
      </c>
      <c r="I12" s="25">
        <v>46209.0</v>
      </c>
      <c r="J12" s="17" t="s">
        <v>169</v>
      </c>
      <c r="K12" s="8">
        <v>2.0</v>
      </c>
      <c r="L12" s="8">
        <v>27.0</v>
      </c>
      <c r="M12" s="8">
        <v>2.0</v>
      </c>
      <c r="N12" s="8">
        <v>416.0</v>
      </c>
      <c r="O12" s="17" t="str">
        <f t="shared" ref="O12:O14" si="4">IF(F12="CHARUSAT NSS Cell","Prof. Kishan Patel",
IF(F12="ARIP NSS Unit","Dr. Shreya Swami",
IF(F12="BDIPS NSS Unit","Dr. Suchitra Parge",
IF(F12="CMPICA NSS Unit","Dr. Hardik Bhalchandra Pandit",
IF(F12="IIIM NSS Unit","Dr. Poonam Amrutia",
IF(F12="PDPIAS NSS Unit","Dr. Rajesh V. Savalia",
IF(F12="RPCP NSS Unit","Prof. Hardik Koria",
IF(F12="MTIN NSS Unit","Prof. Hetal Shah",
IF(F12="CSPIT CE NSS Unit","Prof. Martin Parmar",
IF(F12="CSPIT CSE NSS Unit","Prof. Dharmendrasinh Rathod",
IF(F12="CSPIT IT NSS Unit","Prof. Rajnik S. Katariya",
IF(F12="CSPIT EC NSS Unit","Prof. Akshay Patel",
IF(F12="CSPIT EE NSS Unit","Prof. Ankur Patel",
IF(F12="CSPIT ME NSS Unit","Prof. Satayu Travadi",
IF(F12="CSPIT Civil NSS Unit","Prof. Megha Desai",
IF(F12="CSPIT AIML NSS Unit","Prof. Gaurav Kumar",
IF(F12="DEPSTAR CE NSS Unit","Prof. Kashyap Patel",
IF(F12="DEPSTAR CS NSS Unit","Prof. Gaurang Patel",
IF(F12="DEPSTAR IT NSS Unit","Prof. Hitesh Makwana","")))))))))))))))))))</f>
        <v>Dr. Poonam Amrutia</v>
      </c>
    </row>
    <row r="13">
      <c r="A13" s="33">
        <v>12.0</v>
      </c>
      <c r="B13" s="73" t="str">
        <f t="shared" si="1"/>
        <v>Entry Submitted Successfully</v>
      </c>
      <c r="C13" s="17" t="s">
        <v>36</v>
      </c>
      <c r="D13" s="74" t="s">
        <v>176</v>
      </c>
      <c r="E13" s="75" t="s">
        <v>177</v>
      </c>
      <c r="F13" s="23" t="s">
        <v>178</v>
      </c>
      <c r="G13" s="23" t="s">
        <v>46</v>
      </c>
      <c r="H13" s="25">
        <v>46214.0</v>
      </c>
      <c r="I13" s="25">
        <v>46214.0</v>
      </c>
      <c r="J13" s="17" t="s">
        <v>179</v>
      </c>
      <c r="K13" s="8">
        <v>4.0</v>
      </c>
      <c r="L13" s="8">
        <v>30.0</v>
      </c>
      <c r="M13" s="8">
        <v>1.0</v>
      </c>
      <c r="N13" s="8">
        <v>30.0</v>
      </c>
      <c r="O13" s="17" t="str">
        <f t="shared" si="4"/>
        <v>Prof. Akshay Patel</v>
      </c>
    </row>
    <row r="14">
      <c r="A14" s="8">
        <v>13.0</v>
      </c>
      <c r="B14" s="73" t="str">
        <f t="shared" si="1"/>
        <v>Entry Submitted Successfully</v>
      </c>
      <c r="C14" s="17" t="s">
        <v>36</v>
      </c>
      <c r="D14" s="74" t="s">
        <v>183</v>
      </c>
      <c r="E14" s="75" t="s">
        <v>41</v>
      </c>
      <c r="F14" s="23" t="s">
        <v>93</v>
      </c>
      <c r="G14" s="23" t="s">
        <v>46</v>
      </c>
      <c r="H14" s="25">
        <v>46225.0</v>
      </c>
      <c r="I14" s="25">
        <v>46225.0</v>
      </c>
      <c r="J14" s="17" t="s">
        <v>184</v>
      </c>
      <c r="K14" s="8">
        <v>2.0</v>
      </c>
      <c r="L14" s="8">
        <v>112.0</v>
      </c>
      <c r="M14" s="8">
        <v>1.0</v>
      </c>
      <c r="N14" s="8">
        <v>0.0</v>
      </c>
      <c r="O14" s="17" t="str">
        <f t="shared" si="4"/>
        <v>Dr. Poonam Amrutia</v>
      </c>
    </row>
    <row r="15">
      <c r="A15" s="33">
        <v>14.0</v>
      </c>
      <c r="B15" s="15" t="str">
        <f t="shared" si="1"/>
        <v>Entry Submitted Successfully</v>
      </c>
      <c r="C15" s="76"/>
      <c r="D15" s="77" t="s">
        <v>188</v>
      </c>
      <c r="E15" s="34" t="s">
        <v>161</v>
      </c>
      <c r="F15" s="23" t="s">
        <v>142</v>
      </c>
      <c r="G15" s="23" t="s">
        <v>46</v>
      </c>
      <c r="H15" s="36">
        <v>46230.0</v>
      </c>
      <c r="I15" s="36">
        <v>46230.0</v>
      </c>
      <c r="J15" s="34" t="s">
        <v>190</v>
      </c>
      <c r="K15" s="33">
        <v>5.0</v>
      </c>
      <c r="L15" s="33">
        <v>36.0</v>
      </c>
      <c r="M15" s="33">
        <v>1.0</v>
      </c>
      <c r="N15" s="33">
        <v>36.0</v>
      </c>
      <c r="O15" s="17" t="s">
        <v>157</v>
      </c>
    </row>
    <row r="16">
      <c r="A16" s="8">
        <v>15.0</v>
      </c>
      <c r="B16" s="15" t="str">
        <f t="shared" si="1"/>
        <v>Entry Submitted Successfully</v>
      </c>
      <c r="C16" s="17" t="s">
        <v>36</v>
      </c>
      <c r="D16" s="17" t="s">
        <v>195</v>
      </c>
      <c r="E16" s="17" t="s">
        <v>161</v>
      </c>
      <c r="F16" s="23" t="s">
        <v>46</v>
      </c>
      <c r="G16" s="23" t="s">
        <v>46</v>
      </c>
      <c r="H16" s="25">
        <v>46230.0</v>
      </c>
      <c r="I16" s="25">
        <v>46230.0</v>
      </c>
      <c r="J16" s="17" t="s">
        <v>196</v>
      </c>
      <c r="K16" s="8">
        <v>5.0</v>
      </c>
      <c r="L16" s="8">
        <v>40.0</v>
      </c>
      <c r="M16" s="8">
        <v>1.0</v>
      </c>
      <c r="N16" s="8">
        <v>40.0</v>
      </c>
      <c r="O16" s="17" t="str">
        <f t="shared" ref="O16:O61" si="5">IF(F16="CHARUSAT NSS Cell","Prof. Kishan Patel",
IF(F16="ARIP NSS Unit","Dr. Shreya Swami",
IF(F16="BDIPS NSS Unit","Dr. Suchitra Parge",
IF(F16="CMPICA NSS Unit","Dr. Hardik Bhalchandra Pandit",
IF(F16="IIIM NSS Unit","Dr. Poonam Amrutia",
IF(F16="PDPIAS NSS Unit","Dr. Rajesh V. Savalia",
IF(F16="RPCP NSS Unit","Prof. Hardik Koria",
IF(F16="MTIN NSS Unit","Prof. Hetal Shah",
IF(F16="CSPIT CE NSS Unit","Prof. Martin Parmar",
IF(F16="CSPIT CSE NSS Unit","Prof. Dharmendrasinh Rathod",
IF(F16="CSPIT IT NSS Unit","Prof. Rajnik S. Katariya",
IF(F16="CSPIT EC NSS Unit","Prof. Akshay Patel",
IF(F16="CSPIT EE NSS Unit","Prof. Ankur Patel",
IF(F16="CSPIT ME NSS Unit","Prof. Satayu Travadi",
IF(F16="CSPIT Civil NSS Unit","Prof. Megha Desai",
IF(F16="CSPIT AIML NSS Unit","Prof. Gaurav Kumar",
IF(F16="DEPSTAR CE NSS Unit","Prof. Kashyap Patel",
IF(F16="DEPSTAR CS NSS Unit","Prof. Gaurang Patel",
IF(F16="DEPSTAR IT NSS Unit","Prof. Hitesh Makwana","")))))))))))))))))))</f>
        <v>Prof. Kishan Patel</v>
      </c>
    </row>
    <row r="17">
      <c r="A17" s="33">
        <v>16.0</v>
      </c>
      <c r="B17" s="15" t="str">
        <f t="shared" si="1"/>
        <v>Entry Submitted Successfully</v>
      </c>
      <c r="C17" s="17" t="s">
        <v>36</v>
      </c>
      <c r="D17" s="67" t="s">
        <v>206</v>
      </c>
      <c r="E17" s="34" t="s">
        <v>177</v>
      </c>
      <c r="F17" s="23" t="s">
        <v>178</v>
      </c>
      <c r="G17" s="23" t="s">
        <v>46</v>
      </c>
      <c r="H17" s="36">
        <v>46231.0</v>
      </c>
      <c r="I17" s="36">
        <v>46232.0</v>
      </c>
      <c r="J17" s="34" t="s">
        <v>207</v>
      </c>
      <c r="K17" s="33">
        <v>2.0</v>
      </c>
      <c r="L17" s="33">
        <v>24.0</v>
      </c>
      <c r="M17" s="33">
        <v>1.0</v>
      </c>
      <c r="N17" s="33">
        <v>84.0</v>
      </c>
      <c r="O17" s="17" t="str">
        <f t="shared" si="5"/>
        <v>Prof. Akshay Patel</v>
      </c>
    </row>
    <row r="18">
      <c r="A18" s="8">
        <v>17.0</v>
      </c>
      <c r="B18" s="15" t="str">
        <f t="shared" si="1"/>
        <v>Entry Submitted Successfully</v>
      </c>
      <c r="C18" s="17" t="s">
        <v>36</v>
      </c>
      <c r="D18" s="17" t="s">
        <v>212</v>
      </c>
      <c r="E18" s="17" t="s">
        <v>213</v>
      </c>
      <c r="F18" s="23" t="s">
        <v>93</v>
      </c>
      <c r="G18" s="23" t="s">
        <v>46</v>
      </c>
      <c r="H18" s="25">
        <v>46231.0</v>
      </c>
      <c r="I18" s="25">
        <v>46262.0</v>
      </c>
      <c r="J18" s="17" t="s">
        <v>215</v>
      </c>
      <c r="K18" s="8">
        <v>8.0</v>
      </c>
      <c r="L18" s="8">
        <v>81.0</v>
      </c>
      <c r="M18" s="8">
        <v>3.0</v>
      </c>
      <c r="N18" s="8">
        <v>84.0</v>
      </c>
      <c r="O18" s="17" t="str">
        <f t="shared" si="5"/>
        <v>Dr. Poonam Amrutia</v>
      </c>
    </row>
    <row r="19">
      <c r="A19" s="33">
        <v>18.0</v>
      </c>
      <c r="B19" s="15" t="str">
        <f t="shared" si="1"/>
        <v>Entry Submitted Successfully</v>
      </c>
      <c r="C19" s="17" t="s">
        <v>36</v>
      </c>
      <c r="D19" s="34" t="s">
        <v>219</v>
      </c>
      <c r="E19" s="34" t="s">
        <v>220</v>
      </c>
      <c r="F19" s="23" t="s">
        <v>93</v>
      </c>
      <c r="G19" s="23" t="s">
        <v>46</v>
      </c>
      <c r="H19" s="36">
        <v>46232.0</v>
      </c>
      <c r="I19" s="36">
        <v>46232.0</v>
      </c>
      <c r="J19" s="34" t="s">
        <v>222</v>
      </c>
      <c r="K19" s="33">
        <v>2.0</v>
      </c>
      <c r="L19" s="33">
        <v>114.0</v>
      </c>
      <c r="M19" s="33">
        <v>1.0</v>
      </c>
      <c r="N19" s="33">
        <v>115.0</v>
      </c>
      <c r="O19" s="17" t="str">
        <f t="shared" si="5"/>
        <v>Dr. Poonam Amrutia</v>
      </c>
    </row>
    <row r="20">
      <c r="A20" s="8">
        <v>19.0</v>
      </c>
      <c r="B20" s="15" t="str">
        <f t="shared" si="1"/>
        <v>Entry Submitted Successfully</v>
      </c>
      <c r="C20" s="81"/>
      <c r="D20" s="17" t="s">
        <v>226</v>
      </c>
      <c r="E20" s="17" t="s">
        <v>161</v>
      </c>
      <c r="F20" s="23" t="s">
        <v>93</v>
      </c>
      <c r="G20" s="23" t="s">
        <v>46</v>
      </c>
      <c r="H20" s="25">
        <v>46239.0</v>
      </c>
      <c r="I20" s="25">
        <v>46239.0</v>
      </c>
      <c r="J20" s="17" t="s">
        <v>222</v>
      </c>
      <c r="K20" s="8">
        <v>4.0</v>
      </c>
      <c r="L20" s="8">
        <v>122.0</v>
      </c>
      <c r="M20" s="8">
        <v>1.0</v>
      </c>
      <c r="N20" s="8">
        <v>156.0</v>
      </c>
      <c r="O20" s="17" t="str">
        <f t="shared" si="5"/>
        <v>Dr. Poonam Amrutia</v>
      </c>
    </row>
    <row r="21">
      <c r="A21" s="33">
        <v>20.0</v>
      </c>
      <c r="B21" s="15" t="str">
        <f t="shared" si="1"/>
        <v>Entry Submitted Successfully</v>
      </c>
      <c r="C21" s="81"/>
      <c r="D21" s="34" t="s">
        <v>231</v>
      </c>
      <c r="E21" s="34" t="s">
        <v>161</v>
      </c>
      <c r="F21" s="23" t="s">
        <v>232</v>
      </c>
      <c r="G21" s="23" t="s">
        <v>233</v>
      </c>
      <c r="H21" s="36">
        <v>46238.0</v>
      </c>
      <c r="I21" s="36">
        <v>46238.0</v>
      </c>
      <c r="J21" s="34" t="s">
        <v>234</v>
      </c>
      <c r="K21" s="33">
        <v>6.0</v>
      </c>
      <c r="L21" s="33">
        <v>25.0</v>
      </c>
      <c r="M21" s="33">
        <v>2.0</v>
      </c>
      <c r="N21" s="33">
        <v>200.0</v>
      </c>
      <c r="O21" s="17" t="str">
        <f t="shared" si="5"/>
        <v>Prof. Martin Parmar</v>
      </c>
    </row>
    <row r="22">
      <c r="A22" s="8">
        <v>21.0</v>
      </c>
      <c r="B22" s="82" t="str">
        <f t="shared" si="1"/>
        <v>Event Entry Details Pending</v>
      </c>
      <c r="C22" s="81"/>
      <c r="D22" s="64"/>
      <c r="E22" s="64"/>
      <c r="F22" s="83"/>
      <c r="G22" s="83"/>
      <c r="H22" s="84"/>
      <c r="I22" s="84"/>
      <c r="J22" s="64"/>
      <c r="K22" s="64"/>
      <c r="L22" s="64"/>
      <c r="M22" s="64"/>
      <c r="N22" s="64"/>
      <c r="O22" s="64" t="str">
        <f t="shared" si="5"/>
        <v/>
      </c>
    </row>
    <row r="23">
      <c r="A23" s="33">
        <v>22.0</v>
      </c>
      <c r="B23" s="82" t="str">
        <f t="shared" si="1"/>
        <v>Event Entry Details Pending</v>
      </c>
      <c r="C23" s="81"/>
      <c r="D23" s="85"/>
      <c r="E23" s="85"/>
      <c r="F23" s="83"/>
      <c r="G23" s="83"/>
      <c r="H23" s="86"/>
      <c r="I23" s="86"/>
      <c r="J23" s="85"/>
      <c r="K23" s="85"/>
      <c r="L23" s="85"/>
      <c r="M23" s="85"/>
      <c r="N23" s="85"/>
      <c r="O23" s="64" t="str">
        <f t="shared" si="5"/>
        <v/>
      </c>
    </row>
    <row r="24">
      <c r="A24" s="8">
        <v>23.0</v>
      </c>
      <c r="B24" s="82" t="str">
        <f t="shared" si="1"/>
        <v>Event Entry Details Pending</v>
      </c>
      <c r="C24" s="81"/>
      <c r="D24" s="64"/>
      <c r="E24" s="64"/>
      <c r="F24" s="83"/>
      <c r="G24" s="83"/>
      <c r="H24" s="84"/>
      <c r="I24" s="84"/>
      <c r="J24" s="64"/>
      <c r="K24" s="64"/>
      <c r="L24" s="64"/>
      <c r="M24" s="64"/>
      <c r="N24" s="64"/>
      <c r="O24" s="64" t="str">
        <f t="shared" si="5"/>
        <v/>
      </c>
    </row>
    <row r="25">
      <c r="A25" s="33">
        <v>24.0</v>
      </c>
      <c r="B25" s="82" t="str">
        <f t="shared" si="1"/>
        <v>Event Entry Details Pending</v>
      </c>
      <c r="C25" s="81"/>
      <c r="D25" s="85"/>
      <c r="E25" s="85"/>
      <c r="F25" s="83"/>
      <c r="G25" s="83"/>
      <c r="H25" s="86"/>
      <c r="I25" s="86"/>
      <c r="J25" s="85"/>
      <c r="K25" s="85"/>
      <c r="L25" s="85"/>
      <c r="M25" s="85"/>
      <c r="N25" s="85"/>
      <c r="O25" s="64" t="str">
        <f t="shared" si="5"/>
        <v/>
      </c>
    </row>
    <row r="26">
      <c r="A26" s="8">
        <v>25.0</v>
      </c>
      <c r="B26" s="82" t="str">
        <f t="shared" si="1"/>
        <v>Event Entry Details Pending</v>
      </c>
      <c r="C26" s="81"/>
      <c r="D26" s="64"/>
      <c r="E26" s="64"/>
      <c r="F26" s="83"/>
      <c r="G26" s="83"/>
      <c r="H26" s="84"/>
      <c r="I26" s="84"/>
      <c r="J26" s="64"/>
      <c r="K26" s="64"/>
      <c r="L26" s="64"/>
      <c r="M26" s="64"/>
      <c r="N26" s="64"/>
      <c r="O26" s="64" t="str">
        <f t="shared" si="5"/>
        <v/>
      </c>
    </row>
    <row r="27">
      <c r="A27" s="33">
        <v>26.0</v>
      </c>
      <c r="B27" s="82" t="str">
        <f t="shared" si="1"/>
        <v>Event Entry Details Pending</v>
      </c>
      <c r="C27" s="81"/>
      <c r="D27" s="85"/>
      <c r="E27" s="85"/>
      <c r="F27" s="83"/>
      <c r="G27" s="83"/>
      <c r="H27" s="86"/>
      <c r="I27" s="86"/>
      <c r="J27" s="85"/>
      <c r="K27" s="85"/>
      <c r="L27" s="85"/>
      <c r="M27" s="85"/>
      <c r="N27" s="85"/>
      <c r="O27" s="64" t="str">
        <f t="shared" si="5"/>
        <v/>
      </c>
    </row>
    <row r="28">
      <c r="A28" s="8">
        <v>27.0</v>
      </c>
      <c r="B28" s="82" t="str">
        <f t="shared" si="1"/>
        <v>Event Entry Details Pending</v>
      </c>
      <c r="C28" s="81"/>
      <c r="D28" s="64"/>
      <c r="E28" s="64"/>
      <c r="F28" s="83"/>
      <c r="G28" s="83"/>
      <c r="H28" s="84"/>
      <c r="I28" s="84"/>
      <c r="J28" s="64"/>
      <c r="K28" s="64"/>
      <c r="L28" s="64"/>
      <c r="M28" s="64"/>
      <c r="N28" s="64"/>
      <c r="O28" s="64" t="str">
        <f t="shared" si="5"/>
        <v/>
      </c>
    </row>
    <row r="29">
      <c r="A29" s="33">
        <v>28.0</v>
      </c>
      <c r="B29" s="82" t="str">
        <f t="shared" si="1"/>
        <v>Event Entry Details Pending</v>
      </c>
      <c r="C29" s="81"/>
      <c r="D29" s="85"/>
      <c r="E29" s="85"/>
      <c r="F29" s="83"/>
      <c r="G29" s="83"/>
      <c r="H29" s="86"/>
      <c r="I29" s="86"/>
      <c r="J29" s="85"/>
      <c r="K29" s="85"/>
      <c r="L29" s="85"/>
      <c r="M29" s="85"/>
      <c r="N29" s="85"/>
      <c r="O29" s="64" t="str">
        <f t="shared" si="5"/>
        <v/>
      </c>
    </row>
    <row r="30">
      <c r="A30" s="8">
        <v>29.0</v>
      </c>
      <c r="B30" s="82" t="str">
        <f t="shared" si="1"/>
        <v>Event Entry Details Pending</v>
      </c>
      <c r="C30" s="81"/>
      <c r="D30" s="64"/>
      <c r="E30" s="64"/>
      <c r="F30" s="83"/>
      <c r="G30" s="83"/>
      <c r="H30" s="84"/>
      <c r="I30" s="84"/>
      <c r="J30" s="64"/>
      <c r="K30" s="64"/>
      <c r="L30" s="64"/>
      <c r="M30" s="64"/>
      <c r="N30" s="64"/>
      <c r="O30" s="64" t="str">
        <f t="shared" si="5"/>
        <v/>
      </c>
    </row>
    <row r="31">
      <c r="A31" s="33">
        <v>30.0</v>
      </c>
      <c r="B31" s="82" t="str">
        <f t="shared" si="1"/>
        <v>Event Entry Details Pending</v>
      </c>
      <c r="C31" s="81"/>
      <c r="D31" s="85"/>
      <c r="E31" s="85"/>
      <c r="F31" s="83"/>
      <c r="G31" s="83"/>
      <c r="H31" s="86"/>
      <c r="I31" s="86"/>
      <c r="J31" s="85"/>
      <c r="K31" s="85"/>
      <c r="L31" s="85"/>
      <c r="M31" s="85"/>
      <c r="N31" s="85"/>
      <c r="O31" s="64" t="str">
        <f t="shared" si="5"/>
        <v/>
      </c>
    </row>
    <row r="32">
      <c r="A32" s="8">
        <v>31.0</v>
      </c>
      <c r="B32" s="82" t="str">
        <f t="shared" si="1"/>
        <v>Event Entry Details Pending</v>
      </c>
      <c r="C32" s="81"/>
      <c r="D32" s="64"/>
      <c r="E32" s="64"/>
      <c r="F32" s="83"/>
      <c r="G32" s="83"/>
      <c r="H32" s="84"/>
      <c r="I32" s="84"/>
      <c r="J32" s="64"/>
      <c r="K32" s="64"/>
      <c r="L32" s="64"/>
      <c r="M32" s="64"/>
      <c r="N32" s="64"/>
      <c r="O32" s="64" t="str">
        <f t="shared" si="5"/>
        <v/>
      </c>
    </row>
    <row r="33">
      <c r="A33" s="33">
        <v>32.0</v>
      </c>
      <c r="B33" s="82" t="str">
        <f t="shared" si="1"/>
        <v>Event Entry Details Pending</v>
      </c>
      <c r="C33" s="81"/>
      <c r="D33" s="85"/>
      <c r="E33" s="85"/>
      <c r="F33" s="83"/>
      <c r="G33" s="83"/>
      <c r="H33" s="86"/>
      <c r="I33" s="86"/>
      <c r="J33" s="85"/>
      <c r="K33" s="85"/>
      <c r="L33" s="85"/>
      <c r="M33" s="85"/>
      <c r="N33" s="85"/>
      <c r="O33" s="64" t="str">
        <f t="shared" si="5"/>
        <v/>
      </c>
    </row>
    <row r="34">
      <c r="A34" s="8">
        <v>33.0</v>
      </c>
      <c r="B34" s="82" t="str">
        <f t="shared" si="1"/>
        <v>Event Entry Details Pending</v>
      </c>
      <c r="C34" s="81"/>
      <c r="D34" s="64"/>
      <c r="E34" s="64"/>
      <c r="F34" s="83"/>
      <c r="G34" s="83"/>
      <c r="H34" s="84"/>
      <c r="I34" s="84"/>
      <c r="J34" s="64"/>
      <c r="K34" s="64"/>
      <c r="L34" s="64"/>
      <c r="M34" s="64"/>
      <c r="N34" s="64"/>
      <c r="O34" s="64" t="str">
        <f t="shared" si="5"/>
        <v/>
      </c>
    </row>
    <row r="35">
      <c r="A35" s="33">
        <v>34.0</v>
      </c>
      <c r="B35" s="82" t="str">
        <f t="shared" si="1"/>
        <v>Event Entry Details Pending</v>
      </c>
      <c r="C35" s="81"/>
      <c r="D35" s="85"/>
      <c r="E35" s="85"/>
      <c r="F35" s="83"/>
      <c r="G35" s="83"/>
      <c r="H35" s="86"/>
      <c r="I35" s="86"/>
      <c r="J35" s="85"/>
      <c r="K35" s="85"/>
      <c r="L35" s="85"/>
      <c r="M35" s="85"/>
      <c r="N35" s="85"/>
      <c r="O35" s="64" t="str">
        <f t="shared" si="5"/>
        <v/>
      </c>
    </row>
    <row r="36">
      <c r="A36" s="8">
        <v>35.0</v>
      </c>
      <c r="B36" s="82" t="str">
        <f t="shared" si="1"/>
        <v>Event Entry Details Pending</v>
      </c>
      <c r="C36" s="81"/>
      <c r="D36" s="64"/>
      <c r="E36" s="64"/>
      <c r="F36" s="83"/>
      <c r="G36" s="83"/>
      <c r="H36" s="84"/>
      <c r="I36" s="84"/>
      <c r="J36" s="64"/>
      <c r="K36" s="64"/>
      <c r="L36" s="64"/>
      <c r="M36" s="64"/>
      <c r="N36" s="64"/>
      <c r="O36" s="64" t="str">
        <f t="shared" si="5"/>
        <v/>
      </c>
    </row>
    <row r="37">
      <c r="A37" s="33">
        <v>36.0</v>
      </c>
      <c r="B37" s="82" t="str">
        <f t="shared" si="1"/>
        <v>Event Entry Details Pending</v>
      </c>
      <c r="C37" s="81"/>
      <c r="D37" s="85"/>
      <c r="E37" s="85"/>
      <c r="F37" s="83"/>
      <c r="G37" s="83"/>
      <c r="H37" s="86"/>
      <c r="I37" s="86"/>
      <c r="J37" s="85"/>
      <c r="K37" s="85"/>
      <c r="L37" s="85"/>
      <c r="M37" s="85"/>
      <c r="N37" s="85"/>
      <c r="O37" s="64" t="str">
        <f t="shared" si="5"/>
        <v/>
      </c>
    </row>
    <row r="38">
      <c r="A38" s="8">
        <v>37.0</v>
      </c>
      <c r="B38" s="82" t="str">
        <f t="shared" si="1"/>
        <v>Event Entry Details Pending</v>
      </c>
      <c r="C38" s="81"/>
      <c r="D38" s="64"/>
      <c r="E38" s="64"/>
      <c r="F38" s="83"/>
      <c r="G38" s="83"/>
      <c r="H38" s="84"/>
      <c r="I38" s="84"/>
      <c r="J38" s="64"/>
      <c r="K38" s="64"/>
      <c r="L38" s="64"/>
      <c r="M38" s="64"/>
      <c r="N38" s="64"/>
      <c r="O38" s="64" t="str">
        <f t="shared" si="5"/>
        <v/>
      </c>
    </row>
    <row r="39">
      <c r="A39" s="33">
        <v>38.0</v>
      </c>
      <c r="B39" s="82" t="str">
        <f t="shared" si="1"/>
        <v>Event Entry Details Pending</v>
      </c>
      <c r="C39" s="81"/>
      <c r="D39" s="85"/>
      <c r="E39" s="85"/>
      <c r="F39" s="83"/>
      <c r="G39" s="83"/>
      <c r="H39" s="86"/>
      <c r="I39" s="86"/>
      <c r="J39" s="85"/>
      <c r="K39" s="85"/>
      <c r="L39" s="85"/>
      <c r="M39" s="85"/>
      <c r="N39" s="85"/>
      <c r="O39" s="64" t="str">
        <f t="shared" si="5"/>
        <v/>
      </c>
    </row>
    <row r="40">
      <c r="A40" s="8">
        <v>39.0</v>
      </c>
      <c r="B40" s="82" t="str">
        <f t="shared" si="1"/>
        <v>Event Entry Details Pending</v>
      </c>
      <c r="C40" s="81"/>
      <c r="D40" s="64"/>
      <c r="E40" s="64"/>
      <c r="F40" s="83"/>
      <c r="G40" s="83"/>
      <c r="H40" s="84"/>
      <c r="I40" s="84"/>
      <c r="J40" s="64"/>
      <c r="K40" s="64"/>
      <c r="L40" s="64"/>
      <c r="M40" s="64"/>
      <c r="N40" s="64"/>
      <c r="O40" s="64" t="str">
        <f t="shared" si="5"/>
        <v/>
      </c>
    </row>
    <row r="41">
      <c r="A41" s="33">
        <v>40.0</v>
      </c>
      <c r="B41" s="82" t="str">
        <f t="shared" si="1"/>
        <v>Event Entry Details Pending</v>
      </c>
      <c r="C41" s="81"/>
      <c r="D41" s="85"/>
      <c r="E41" s="85"/>
      <c r="F41" s="83"/>
      <c r="G41" s="83"/>
      <c r="H41" s="86"/>
      <c r="I41" s="86"/>
      <c r="J41" s="85"/>
      <c r="K41" s="85"/>
      <c r="L41" s="85"/>
      <c r="M41" s="85"/>
      <c r="N41" s="85"/>
      <c r="O41" s="64" t="str">
        <f t="shared" si="5"/>
        <v/>
      </c>
    </row>
    <row r="42">
      <c r="A42" s="8">
        <v>41.0</v>
      </c>
      <c r="B42" s="82" t="str">
        <f t="shared" si="1"/>
        <v>Event Entry Details Pending</v>
      </c>
      <c r="C42" s="81"/>
      <c r="D42" s="64"/>
      <c r="E42" s="64"/>
      <c r="F42" s="83"/>
      <c r="G42" s="83"/>
      <c r="H42" s="84"/>
      <c r="I42" s="84"/>
      <c r="J42" s="64"/>
      <c r="K42" s="64"/>
      <c r="L42" s="64"/>
      <c r="M42" s="64"/>
      <c r="N42" s="64"/>
      <c r="O42" s="64" t="str">
        <f t="shared" si="5"/>
        <v/>
      </c>
    </row>
    <row r="43">
      <c r="A43" s="33">
        <v>42.0</v>
      </c>
      <c r="B43" s="82" t="str">
        <f t="shared" si="1"/>
        <v>Event Entry Details Pending</v>
      </c>
      <c r="C43" s="81"/>
      <c r="D43" s="85"/>
      <c r="E43" s="85"/>
      <c r="F43" s="83"/>
      <c r="G43" s="83"/>
      <c r="H43" s="86"/>
      <c r="I43" s="86"/>
      <c r="J43" s="85"/>
      <c r="K43" s="85"/>
      <c r="L43" s="85"/>
      <c r="M43" s="85"/>
      <c r="N43" s="85"/>
      <c r="O43" s="64" t="str">
        <f t="shared" si="5"/>
        <v/>
      </c>
    </row>
    <row r="44">
      <c r="A44" s="8">
        <v>43.0</v>
      </c>
      <c r="B44" s="82" t="str">
        <f t="shared" si="1"/>
        <v>Event Entry Details Pending</v>
      </c>
      <c r="C44" s="81"/>
      <c r="D44" s="64"/>
      <c r="E44" s="64"/>
      <c r="F44" s="83"/>
      <c r="G44" s="83"/>
      <c r="H44" s="84"/>
      <c r="I44" s="84"/>
      <c r="J44" s="64"/>
      <c r="K44" s="64"/>
      <c r="L44" s="64"/>
      <c r="M44" s="64"/>
      <c r="N44" s="64"/>
      <c r="O44" s="64" t="str">
        <f t="shared" si="5"/>
        <v/>
      </c>
    </row>
    <row r="45">
      <c r="A45" s="33">
        <v>44.0</v>
      </c>
      <c r="B45" s="82" t="str">
        <f t="shared" si="1"/>
        <v>Event Entry Details Pending</v>
      </c>
      <c r="C45" s="81"/>
      <c r="D45" s="85"/>
      <c r="E45" s="85"/>
      <c r="F45" s="83"/>
      <c r="G45" s="83"/>
      <c r="H45" s="86"/>
      <c r="I45" s="86"/>
      <c r="J45" s="85"/>
      <c r="K45" s="85"/>
      <c r="L45" s="85"/>
      <c r="M45" s="85"/>
      <c r="N45" s="85"/>
      <c r="O45" s="64" t="str">
        <f t="shared" si="5"/>
        <v/>
      </c>
    </row>
    <row r="46">
      <c r="A46" s="8">
        <v>45.0</v>
      </c>
      <c r="B46" s="82" t="str">
        <f t="shared" si="1"/>
        <v>Event Entry Details Pending</v>
      </c>
      <c r="C46" s="81"/>
      <c r="D46" s="64"/>
      <c r="E46" s="64"/>
      <c r="F46" s="83"/>
      <c r="G46" s="83"/>
      <c r="H46" s="84"/>
      <c r="I46" s="84"/>
      <c r="J46" s="64"/>
      <c r="K46" s="64"/>
      <c r="L46" s="64"/>
      <c r="M46" s="64"/>
      <c r="N46" s="64"/>
      <c r="O46" s="64" t="str">
        <f t="shared" si="5"/>
        <v/>
      </c>
    </row>
    <row r="47">
      <c r="A47" s="33">
        <v>46.0</v>
      </c>
      <c r="B47" s="82" t="str">
        <f t="shared" si="1"/>
        <v>Event Entry Details Pending</v>
      </c>
      <c r="C47" s="81"/>
      <c r="D47" s="85"/>
      <c r="E47" s="85"/>
      <c r="F47" s="83"/>
      <c r="G47" s="83"/>
      <c r="H47" s="86"/>
      <c r="I47" s="86"/>
      <c r="J47" s="85"/>
      <c r="K47" s="85"/>
      <c r="L47" s="85"/>
      <c r="M47" s="85"/>
      <c r="N47" s="85"/>
      <c r="O47" s="64" t="str">
        <f t="shared" si="5"/>
        <v/>
      </c>
    </row>
    <row r="48">
      <c r="A48" s="8">
        <v>47.0</v>
      </c>
      <c r="B48" s="82" t="str">
        <f t="shared" si="1"/>
        <v>Event Entry Details Pending</v>
      </c>
      <c r="C48" s="81"/>
      <c r="D48" s="64"/>
      <c r="E48" s="64"/>
      <c r="F48" s="83"/>
      <c r="G48" s="83"/>
      <c r="H48" s="84"/>
      <c r="I48" s="84"/>
      <c r="J48" s="64"/>
      <c r="K48" s="64"/>
      <c r="L48" s="64"/>
      <c r="M48" s="64"/>
      <c r="N48" s="64"/>
      <c r="O48" s="64" t="str">
        <f t="shared" si="5"/>
        <v/>
      </c>
    </row>
    <row r="49">
      <c r="A49" s="33">
        <v>48.0</v>
      </c>
      <c r="B49" s="82" t="str">
        <f t="shared" si="1"/>
        <v>Event Entry Details Pending</v>
      </c>
      <c r="C49" s="81"/>
      <c r="D49" s="85"/>
      <c r="E49" s="85"/>
      <c r="F49" s="83"/>
      <c r="G49" s="83"/>
      <c r="H49" s="86"/>
      <c r="I49" s="86"/>
      <c r="J49" s="85"/>
      <c r="K49" s="85"/>
      <c r="L49" s="85"/>
      <c r="M49" s="85"/>
      <c r="N49" s="85"/>
      <c r="O49" s="64" t="str">
        <f t="shared" si="5"/>
        <v/>
      </c>
    </row>
    <row r="50">
      <c r="A50" s="8">
        <v>49.0</v>
      </c>
      <c r="B50" s="82" t="str">
        <f t="shared" si="1"/>
        <v>Event Entry Details Pending</v>
      </c>
      <c r="C50" s="81"/>
      <c r="D50" s="64"/>
      <c r="E50" s="64"/>
      <c r="F50" s="83"/>
      <c r="G50" s="83"/>
      <c r="H50" s="84"/>
      <c r="I50" s="84"/>
      <c r="J50" s="64"/>
      <c r="K50" s="64"/>
      <c r="L50" s="64"/>
      <c r="M50" s="64"/>
      <c r="N50" s="64"/>
      <c r="O50" s="64" t="str">
        <f t="shared" si="5"/>
        <v/>
      </c>
    </row>
    <row r="51">
      <c r="A51" s="33">
        <v>50.0</v>
      </c>
      <c r="B51" s="82" t="str">
        <f t="shared" si="1"/>
        <v>Event Entry Details Pending</v>
      </c>
      <c r="C51" s="81"/>
      <c r="D51" s="85"/>
      <c r="E51" s="85"/>
      <c r="F51" s="83"/>
      <c r="G51" s="83"/>
      <c r="H51" s="86"/>
      <c r="I51" s="86"/>
      <c r="J51" s="85"/>
      <c r="K51" s="85"/>
      <c r="L51" s="85"/>
      <c r="M51" s="85"/>
      <c r="N51" s="85"/>
      <c r="O51" s="64" t="str">
        <f t="shared" si="5"/>
        <v/>
      </c>
    </row>
    <row r="52">
      <c r="A52" s="8">
        <v>51.0</v>
      </c>
      <c r="B52" s="82" t="str">
        <f t="shared" si="1"/>
        <v>Event Entry Details Pending</v>
      </c>
      <c r="C52" s="81"/>
      <c r="D52" s="64"/>
      <c r="E52" s="64"/>
      <c r="F52" s="83"/>
      <c r="G52" s="83"/>
      <c r="H52" s="84"/>
      <c r="I52" s="84"/>
      <c r="J52" s="64"/>
      <c r="K52" s="64"/>
      <c r="L52" s="64"/>
      <c r="M52" s="64"/>
      <c r="N52" s="64"/>
      <c r="O52" s="64" t="str">
        <f t="shared" si="5"/>
        <v/>
      </c>
    </row>
    <row r="53">
      <c r="A53" s="33">
        <v>52.0</v>
      </c>
      <c r="B53" s="82" t="str">
        <f t="shared" si="1"/>
        <v>Event Entry Details Pending</v>
      </c>
      <c r="C53" s="81"/>
      <c r="D53" s="85"/>
      <c r="E53" s="85"/>
      <c r="F53" s="83"/>
      <c r="G53" s="83"/>
      <c r="H53" s="86"/>
      <c r="I53" s="86"/>
      <c r="J53" s="85"/>
      <c r="K53" s="85"/>
      <c r="L53" s="85"/>
      <c r="M53" s="85"/>
      <c r="N53" s="85"/>
      <c r="O53" s="64" t="str">
        <f t="shared" si="5"/>
        <v/>
      </c>
    </row>
    <row r="54">
      <c r="A54" s="8">
        <v>53.0</v>
      </c>
      <c r="B54" s="82" t="str">
        <f t="shared" si="1"/>
        <v>Event Entry Details Pending</v>
      </c>
      <c r="C54" s="81"/>
      <c r="D54" s="64"/>
      <c r="E54" s="64"/>
      <c r="F54" s="83"/>
      <c r="G54" s="83"/>
      <c r="H54" s="84"/>
      <c r="I54" s="84"/>
      <c r="J54" s="64"/>
      <c r="K54" s="64"/>
      <c r="L54" s="64"/>
      <c r="M54" s="64"/>
      <c r="N54" s="64"/>
      <c r="O54" s="64" t="str">
        <f t="shared" si="5"/>
        <v/>
      </c>
    </row>
    <row r="55">
      <c r="A55" s="33">
        <v>54.0</v>
      </c>
      <c r="B55" s="82" t="str">
        <f t="shared" si="1"/>
        <v>Event Entry Details Pending</v>
      </c>
      <c r="C55" s="81"/>
      <c r="D55" s="85"/>
      <c r="E55" s="85"/>
      <c r="F55" s="83"/>
      <c r="G55" s="83"/>
      <c r="H55" s="86"/>
      <c r="I55" s="86"/>
      <c r="J55" s="85"/>
      <c r="K55" s="85"/>
      <c r="L55" s="85"/>
      <c r="M55" s="85"/>
      <c r="N55" s="85"/>
      <c r="O55" s="64" t="str">
        <f t="shared" si="5"/>
        <v/>
      </c>
    </row>
    <row r="56">
      <c r="A56" s="8">
        <v>55.0</v>
      </c>
      <c r="B56" s="82" t="str">
        <f t="shared" si="1"/>
        <v>Event Entry Details Pending</v>
      </c>
      <c r="C56" s="81"/>
      <c r="D56" s="64"/>
      <c r="E56" s="64"/>
      <c r="F56" s="83"/>
      <c r="G56" s="83"/>
      <c r="H56" s="84"/>
      <c r="I56" s="84"/>
      <c r="J56" s="64"/>
      <c r="K56" s="64"/>
      <c r="L56" s="64"/>
      <c r="M56" s="64"/>
      <c r="N56" s="64"/>
      <c r="O56" s="64" t="str">
        <f t="shared" si="5"/>
        <v/>
      </c>
    </row>
    <row r="57">
      <c r="A57" s="33">
        <v>56.0</v>
      </c>
      <c r="B57" s="82" t="str">
        <f t="shared" si="1"/>
        <v>Event Entry Details Pending</v>
      </c>
      <c r="C57" s="81"/>
      <c r="D57" s="85"/>
      <c r="E57" s="85"/>
      <c r="F57" s="83"/>
      <c r="G57" s="83"/>
      <c r="H57" s="86"/>
      <c r="I57" s="86"/>
      <c r="J57" s="85"/>
      <c r="K57" s="85"/>
      <c r="L57" s="85"/>
      <c r="M57" s="85"/>
      <c r="N57" s="85"/>
      <c r="O57" s="64" t="str">
        <f t="shared" si="5"/>
        <v/>
      </c>
    </row>
    <row r="58">
      <c r="A58" s="8">
        <v>57.0</v>
      </c>
      <c r="B58" s="82" t="str">
        <f t="shared" si="1"/>
        <v>Event Entry Details Pending</v>
      </c>
      <c r="C58" s="81"/>
      <c r="D58" s="64"/>
      <c r="E58" s="64"/>
      <c r="F58" s="83"/>
      <c r="G58" s="83"/>
      <c r="H58" s="84"/>
      <c r="I58" s="84"/>
      <c r="J58" s="64"/>
      <c r="K58" s="64"/>
      <c r="L58" s="64"/>
      <c r="M58" s="64"/>
      <c r="N58" s="64"/>
      <c r="O58" s="64" t="str">
        <f t="shared" si="5"/>
        <v/>
      </c>
    </row>
    <row r="59">
      <c r="A59" s="33">
        <v>58.0</v>
      </c>
      <c r="B59" s="82" t="str">
        <f t="shared" si="1"/>
        <v>Event Entry Details Pending</v>
      </c>
      <c r="C59" s="81"/>
      <c r="D59" s="85"/>
      <c r="E59" s="85"/>
      <c r="F59" s="83"/>
      <c r="G59" s="83"/>
      <c r="H59" s="86"/>
      <c r="I59" s="86"/>
      <c r="J59" s="85"/>
      <c r="K59" s="85"/>
      <c r="L59" s="85"/>
      <c r="M59" s="85"/>
      <c r="N59" s="85"/>
      <c r="O59" s="64" t="str">
        <f t="shared" si="5"/>
        <v/>
      </c>
    </row>
    <row r="60">
      <c r="A60" s="8">
        <v>59.0</v>
      </c>
      <c r="B60" s="82" t="str">
        <f t="shared" si="1"/>
        <v>Event Entry Details Pending</v>
      </c>
      <c r="C60" s="81"/>
      <c r="D60" s="64"/>
      <c r="E60" s="64"/>
      <c r="F60" s="83"/>
      <c r="G60" s="83"/>
      <c r="H60" s="84"/>
      <c r="I60" s="84"/>
      <c r="J60" s="64"/>
      <c r="K60" s="64"/>
      <c r="L60" s="64"/>
      <c r="M60" s="64"/>
      <c r="N60" s="64"/>
      <c r="O60" s="64" t="str">
        <f t="shared" si="5"/>
        <v/>
      </c>
    </row>
    <row r="61">
      <c r="A61" s="33">
        <v>60.0</v>
      </c>
      <c r="B61" s="82" t="str">
        <f t="shared" si="1"/>
        <v>Event Entry Details Pending</v>
      </c>
      <c r="C61" s="81"/>
      <c r="D61" s="85"/>
      <c r="E61" s="85"/>
      <c r="F61" s="83"/>
      <c r="G61" s="83"/>
      <c r="H61" s="86"/>
      <c r="I61" s="86"/>
      <c r="J61" s="85"/>
      <c r="K61" s="85"/>
      <c r="L61" s="85"/>
      <c r="M61" s="85"/>
      <c r="N61" s="85"/>
      <c r="O61" s="64" t="str">
        <f t="shared" si="5"/>
        <v/>
      </c>
    </row>
  </sheetData>
  <dataValidations>
    <dataValidation type="list" allowBlank="1" showErrorMessage="1" sqref="E2:E18 E20:E61">
      <formula1>"Green India,Civic,Fit India,Education,Women Empowerment,Har Ghar Tiranga,Animal Welfare,Social,Swachhata Hi Seva"</formula1>
    </dataValidation>
    <dataValidation type="list" allowBlank="1" showErrorMessage="1" sqref="E19">
      <formula1>"Green India,Civic,Fit India,Education,Women Empowerment,Har Ghar Tiranga,Animal Welfare,Social,Swachhata Hi Seva,Nasha Mukt Bharat"</formula1>
    </dataValidation>
    <dataValidation type="list" allowBlank="1" sqref="G10">
      <formula1>"CHARUSAT NSS Cell,ARIP NSS Unit,BDIPS NSS Unit,CMPICA NSS Unit,IIIM NSS Unit,PDPIAS NSS Unit,RPCP NSS Unit,MTIN NSS Unit,CSPIT CE NSS Unit,CSPIT CSE NSS Unit,CSPIT IT NSS Unit,CSPIT EC NSS Unit,CSPIT EE NSS Unit,CSPIT ME NSS Unit,CSPIT Civil NSS Unit,CSPI"&amp;"T AIML NSS Unit,DEPSTAR CE NSS Unit,DEPSTAR CS NSS Unit,DEPSTAR IT NSS Unit,CSPIT NSS Unit,DEPSTAR NSS Unit,CHARUSAT Sports Dept."</formula1>
    </dataValidation>
    <dataValidation type="list" allowBlank="1" sqref="G11">
      <formula1>"CHARUSAT NSS Cell,ARIP NSS Unit,BDIPS NSS Unit,CMPICA NSS Unit,IIIM NSS Unit,PDPIAS NSS Unit,RPCP NSS Unit,MTIN NSS Unit,CSPIT CE NSS Unit,CSPIT CSE NSS Unit,CSPIT IT NSS Unit,CSPIT EC NSS Unit,CSPIT EE NSS Unit,CSPIT ME NSS Unit,CSPIT Civil NSS Unit,CSPI"&amp;"T AIML NSS Unit,DEPSTAR CE NSS Unit,DEPSTAR CS NSS Unit,DEPSTAR IT NSS Unit,CSPIT NSS Unit,DEPSTAR NSS Unit,CREDP Cell"</formula1>
    </dataValidation>
    <dataValidation type="list" allowBlank="1" sqref="F2:G9 F10:F11 F12:G61">
      <formula1>"CHARUSAT NSS Cell,ARIP NSS Unit,BDIPS NSS Unit,CMPICA NSS Unit,IIIM NSS Unit,PDPIAS NSS Unit,RPCP NSS Unit,MTIN NSS Unit,CSPIT CE NSS Unit,CSPIT CSE NSS Unit,CSPIT IT NSS Unit,CSPIT EC NSS Unit,CSPIT EE NSS Unit,CSPIT ME NSS Unit,CSPIT Civil NSS Unit,CSPI"&amp;"T AIML NSS Unit,DEPSTAR CE NSS Unit,DEPSTAR CS NSS Unit,DEPSTAR IT NSS Unit,CSPIT NSS Unit,DEPSTAR NSS Unit"</formula1>
    </dataValidation>
    <dataValidation type="custom" allowBlank="1" showDropDown="1" showErrorMessage="1" sqref="H2:I61">
      <formula1>OR(NOT(ISERROR(DATEVALUE(H2))), AND(ISNUMBER(H2), LEFT(CELL("format", H2))="D"))</formula1>
    </dataValidation>
  </dataValidations>
  <drawing r:id="rId1"/>
  <tableParts count="1">
    <tablePart r:id="rId3"/>
  </tableParts>
</worksheet>
</file>